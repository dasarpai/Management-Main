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codeName="ThisWorkbook" defaultThemeVersion="124226"/>
  <bookViews>
    <workbookView xWindow="0" yWindow="0" windowWidth="19200" windowHeight="11595" tabRatio="523"/>
  </bookViews>
  <sheets>
    <sheet name="4173  General" sheetId="3" r:id="rId1"/>
    <sheet name="4077-A609 097-II" sheetId="4" state="hidden" r:id="rId2"/>
    <sheet name="4173 Mfg" sheetId="8" r:id="rId3"/>
  </sheets>
  <externalReferences>
    <externalReference r:id="rId4"/>
  </externalReferences>
  <definedNames>
    <definedName name="_xlnm.Print_Titles" localSheetId="1">'4077-A609 097-II'!$1:$4</definedName>
    <definedName name="_xlnm.Print_Titles" localSheetId="0">'4173  General'!$1:$6</definedName>
    <definedName name="_xlnm.Print_Titles" localSheetId="2">'4173 Mfg'!$1:$3</definedName>
  </definedNames>
  <calcPr calcId="125725"/>
  <fileRecoveryPr autoRecover="0"/>
</workbook>
</file>

<file path=xl/calcChain.xml><?xml version="1.0" encoding="utf-8"?>
<calcChain xmlns="http://schemas.openxmlformats.org/spreadsheetml/2006/main">
  <c r="A20" i="8"/>
  <c r="A21" s="1"/>
  <c r="A22" s="1"/>
  <c r="A23" s="1"/>
  <c r="A24" s="1"/>
  <c r="A25" s="1"/>
  <c r="S12"/>
  <c r="Q12"/>
  <c r="N12"/>
  <c r="M12"/>
  <c r="O10"/>
  <c r="T2"/>
  <c r="C2"/>
  <c r="C1"/>
  <c r="O12" l="1"/>
  <c r="H19" i="4"/>
  <c r="F19"/>
  <c r="Q19"/>
  <c r="Q20" s="1"/>
  <c r="Q21" s="1"/>
  <c r="Q22" s="1"/>
  <c r="Q23" s="1"/>
  <c r="Q24" s="1"/>
  <c r="Q25" s="1"/>
  <c r="Q26" s="1"/>
  <c r="A19"/>
  <c r="A20" s="1"/>
  <c r="A21" s="1"/>
  <c r="A22" s="1"/>
  <c r="A23" s="1"/>
  <c r="A24" s="1"/>
  <c r="M12"/>
  <c r="O10"/>
  <c r="O7"/>
  <c r="O6"/>
  <c r="O5"/>
  <c r="W1"/>
  <c r="J1"/>
  <c r="W2"/>
  <c r="T2"/>
  <c r="C1"/>
  <c r="C2"/>
  <c r="J2"/>
  <c r="N12"/>
  <c r="Q12"/>
  <c r="S12"/>
  <c r="O12" l="1"/>
</calcChain>
</file>

<file path=xl/sharedStrings.xml><?xml version="1.0" encoding="utf-8"?>
<sst xmlns="http://schemas.openxmlformats.org/spreadsheetml/2006/main" count="324" uniqueCount="208">
  <si>
    <t>FOA No.:</t>
  </si>
  <si>
    <t>FOA Date:</t>
  </si>
  <si>
    <t>[1] "List of Drawings Approval"</t>
  </si>
  <si>
    <t>Submission Date(s) of:</t>
  </si>
  <si>
    <t>Constraints:</t>
  </si>
  <si>
    <t>[3] QAP</t>
  </si>
  <si>
    <t>[4] Manufacturing Schedule</t>
  </si>
  <si>
    <t>[1] Financial Problems:</t>
  </si>
  <si>
    <t>[2] Labour Unrest:</t>
  </si>
  <si>
    <t>[3] Overloading:</t>
  </si>
  <si>
    <t>[4] Any Other:</t>
  </si>
  <si>
    <t>Drawings:</t>
  </si>
  <si>
    <t>Rev. No.</t>
  </si>
  <si>
    <t>Item</t>
  </si>
  <si>
    <t>Date of Receipt of Drawings from EIL</t>
  </si>
  <si>
    <t>EIL Review Code</t>
  </si>
  <si>
    <t>Raw Material:</t>
  </si>
  <si>
    <t>Name of Vendor</t>
  </si>
  <si>
    <t>Location</t>
  </si>
  <si>
    <t>S.O. Date</t>
  </si>
  <si>
    <t>S.O. Delivery Date</t>
  </si>
  <si>
    <t>*Submission Date to EIL Review</t>
  </si>
  <si>
    <t>Note(s):</t>
  </si>
  <si>
    <t>1. All the Major / Critical Components shall be listed in the Table.</t>
  </si>
  <si>
    <t>[2] "List of Items to be sub-ordered"</t>
  </si>
  <si>
    <t>Availability Location
In-house / Sub-ordered</t>
  </si>
  <si>
    <t>Date of Receipt of FOA by Vendor:</t>
  </si>
  <si>
    <t>Any Input specifically required from EIL.</t>
  </si>
  <si>
    <t>Project:</t>
  </si>
  <si>
    <t>Location:</t>
  </si>
  <si>
    <t>2. If the Drawings will be submitted later, indicate the anticipated submission date in Remarks.</t>
  </si>
  <si>
    <t xml:space="preserve">Vendor: </t>
  </si>
  <si>
    <t xml:space="preserve">Client: </t>
  </si>
  <si>
    <t>Date of 
re-submission of Drawings for EIL Review</t>
  </si>
  <si>
    <t>Date:</t>
  </si>
  <si>
    <t>PO No.</t>
  </si>
  <si>
    <t>Total =</t>
  </si>
  <si>
    <t>Status Report Date:</t>
  </si>
  <si>
    <t>Item:</t>
  </si>
  <si>
    <t>FOA Sl#</t>
  </si>
  <si>
    <t>PR
Sl.#</t>
  </si>
  <si>
    <t>PO
Sl.#</t>
  </si>
  <si>
    <t>Your
Line
Item
No.</t>
  </si>
  <si>
    <t>Tag Number</t>
  </si>
  <si>
    <t>Size</t>
  </si>
  <si>
    <t>Rating</t>
  </si>
  <si>
    <t>IBR</t>
  </si>
  <si>
    <t>NACE</t>
  </si>
  <si>
    <t>RT %</t>
  </si>
  <si>
    <t>Qty As per P.O. in Nos.</t>
  </si>
  <si>
    <t>Qty Completed in Nos.</t>
  </si>
  <si>
    <t>Qty Balance in Nos.</t>
  </si>
  <si>
    <t>Line Item# Partial/ Complete</t>
  </si>
  <si>
    <t>FOA No. :</t>
  </si>
  <si>
    <t>PO No. :</t>
  </si>
  <si>
    <t>Vendor:M/s</t>
  </si>
  <si>
    <t>Raw Material Available Qty
in Nos. *</t>
  </si>
  <si>
    <t>Qty :</t>
  </si>
  <si>
    <t>PR No. / Rev. No.</t>
  </si>
  <si>
    <t>Title &amp; 
Drawing No.</t>
  </si>
  <si>
    <t>Vendor's
Internal
Work Order Ref.</t>
  </si>
  <si>
    <t>Expected Order Completion
Date by Vendor</t>
  </si>
  <si>
    <t>Material Receipt Status
(Received Quantity so far / Balance Qty expected by)</t>
  </si>
  <si>
    <t>MONTHLY STATUS REPORT No.:</t>
  </si>
  <si>
    <t>QAP Approved by EIL on:</t>
  </si>
  <si>
    <t>Inhouse \ Yet to be sub-ordered \ Sub-ordered and received / not received</t>
  </si>
  <si>
    <t>[1] MR shall be referred for furnishing all the below information during fist report. Later as per PR.
[2] The below information is required to be submitted to EIL, RPO: Chennai
       within 1 Week from the date of Receipt of FOA,
       for all new Orders under EIL's Inspection.</t>
  </si>
  <si>
    <r>
      <t xml:space="preserve">FOA </t>
    </r>
    <r>
      <rPr>
        <sz val="10"/>
        <rFont val="Arial"/>
        <family val="2"/>
      </rPr>
      <t>Accepted</t>
    </r>
    <r>
      <rPr>
        <sz val="10"/>
        <rFont val="Arial"/>
        <family val="2"/>
      </rPr>
      <t xml:space="preserve"> vide
Vendor's Letter No.</t>
    </r>
  </si>
  <si>
    <t>Contractual
Delivery Date</t>
  </si>
  <si>
    <t>* - Anticipated / Actual</t>
  </si>
  <si>
    <r>
      <t xml:space="preserve">Manfacturing Schedule (MS) </t>
    </r>
    <r>
      <rPr>
        <sz val="10"/>
        <rFont val="Arial"/>
        <family val="2"/>
      </rPr>
      <t>[Update Monthly]</t>
    </r>
  </si>
  <si>
    <t>QAP Rev. No.:</t>
  </si>
  <si>
    <t>QAP No.        :</t>
  </si>
  <si>
    <t>S.O. No.
**</t>
  </si>
  <si>
    <t>** - In case of Imported / "Fully Assembled" Components are involved, mention Import Order No. &amp; Date.</t>
  </si>
  <si>
    <t>Date        :</t>
  </si>
  <si>
    <r>
      <t xml:space="preserve">Manufacturing: </t>
    </r>
    <r>
      <rPr>
        <b/>
        <u/>
        <sz val="10"/>
        <rFont val="Arial"/>
        <family val="2"/>
      </rPr>
      <t>Please fill details in Next Sheet.</t>
    </r>
  </si>
  <si>
    <r>
      <t xml:space="preserve">Desptach        : </t>
    </r>
    <r>
      <rPr>
        <b/>
        <u/>
        <sz val="10"/>
        <rFont val="Arial"/>
        <family val="2"/>
      </rPr>
      <t>Please fill details in Next Sheet.</t>
    </r>
  </si>
  <si>
    <t>Milestones:</t>
  </si>
  <si>
    <t>Drawing Submission</t>
  </si>
  <si>
    <t>Drawing Approval</t>
  </si>
  <si>
    <t>Subordering of Material</t>
  </si>
  <si>
    <t>Receipt of Material</t>
  </si>
  <si>
    <t>Manufacturing</t>
  </si>
  <si>
    <t>Despatch</t>
  </si>
  <si>
    <t>Testing and Inspection</t>
  </si>
  <si>
    <t>Original
Scheduled Date</t>
  </si>
  <si>
    <t>Present
Schedule Date</t>
  </si>
  <si>
    <t>Actual
Date</t>
  </si>
  <si>
    <t>Submission of GA Drawings forApproval</t>
  </si>
  <si>
    <t>Receipt of Approval of Drawings</t>
  </si>
  <si>
    <t>Release of sub orders</t>
  </si>
  <si>
    <t>Receipt of sub orders</t>
  </si>
  <si>
    <t>Long seam welding completion</t>
  </si>
  <si>
    <t>Circ seam welding completion</t>
  </si>
  <si>
    <t>Fabrication completion</t>
  </si>
  <si>
    <t>Hydrotest</t>
  </si>
  <si>
    <t>Qty.</t>
  </si>
  <si>
    <t>Qty of Items Under Assembly</t>
  </si>
  <si>
    <t>Add additional rows, above, if required, as per EIL PR Line Items.</t>
  </si>
  <si>
    <t>* - In case of Imported Components / Fully Assembled Components are ordered, please mention "Import: __".</t>
  </si>
  <si>
    <t>Fill in either one of "Bulk Item type" or "Fabricated Item type":</t>
  </si>
  <si>
    <r>
      <t xml:space="preserve">For </t>
    </r>
    <r>
      <rPr>
        <b/>
        <u/>
        <sz val="8"/>
        <rFont val="Arial"/>
        <family val="2"/>
      </rPr>
      <t>BULK</t>
    </r>
    <r>
      <rPr>
        <b/>
        <sz val="8"/>
        <rFont val="Arial"/>
        <family val="2"/>
      </rPr>
      <t xml:space="preserve"> Items:</t>
    </r>
  </si>
  <si>
    <r>
      <t xml:space="preserve">For </t>
    </r>
    <r>
      <rPr>
        <b/>
        <u/>
        <sz val="8"/>
        <rFont val="Arial"/>
        <family val="2"/>
      </rPr>
      <t>FABRICATION</t>
    </r>
    <r>
      <rPr>
        <b/>
        <sz val="8"/>
        <rFont val="Arial"/>
        <family val="2"/>
      </rPr>
      <t xml:space="preserve"> Items:</t>
    </r>
  </si>
  <si>
    <t>Balance Raw Material expected by (Date) *</t>
  </si>
  <si>
    <r>
      <t xml:space="preserve">Items Exptd by for EIL or </t>
    </r>
    <r>
      <rPr>
        <b/>
        <sz val="8"/>
        <rFont val="Arial"/>
        <family val="2"/>
      </rPr>
      <t>TPI</t>
    </r>
    <r>
      <rPr>
        <sz val="8"/>
        <rFont val="Arial"/>
        <family val="2"/>
      </rPr>
      <t xml:space="preserve"> or IBR Inspn by
dd/mm/yy</t>
    </r>
  </si>
  <si>
    <t>Despatch Details-
LR No.</t>
  </si>
  <si>
    <t>Despatch Details- LR
Date</t>
  </si>
  <si>
    <t>Despatch Details-
Transporter Name</t>
  </si>
  <si>
    <r>
      <t>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 xml:space="preserve"> Ser vice</t>
    </r>
  </si>
  <si>
    <t>Type /
Model / Part No.</t>
  </si>
  <si>
    <t>TITANIUM EQUIPMENT AND ANODE MFG CO LTD</t>
  </si>
  <si>
    <t>CHENNAI</t>
  </si>
  <si>
    <t>J4077</t>
  </si>
  <si>
    <t>A609/097</t>
  </si>
  <si>
    <t>A609-103-EE-PR-6038-0097</t>
  </si>
  <si>
    <t>30-Aug -16</t>
  </si>
  <si>
    <t>30-Aug -17</t>
  </si>
  <si>
    <t>23-AUG-16</t>
  </si>
  <si>
    <t>01-SEP-16</t>
  </si>
  <si>
    <t>08-SEP16</t>
  </si>
  <si>
    <t>19-SEP16</t>
  </si>
  <si>
    <t>19-SEP-16</t>
  </si>
  <si>
    <t>15-OCT-16</t>
  </si>
  <si>
    <t>NIL</t>
  </si>
  <si>
    <t>Refer the below drawing status</t>
  </si>
  <si>
    <t>31-12-16</t>
  </si>
  <si>
    <t>15-4-17</t>
  </si>
  <si>
    <t>7-4-17</t>
  </si>
  <si>
    <t>25-3-17</t>
  </si>
  <si>
    <t>30-1-17</t>
  </si>
  <si>
    <t>10-4-17</t>
  </si>
  <si>
    <t>22-4-17</t>
  </si>
  <si>
    <t>Date</t>
  </si>
  <si>
    <t>Fasteners</t>
  </si>
  <si>
    <t>Not Submitted</t>
  </si>
  <si>
    <t>Gasket</t>
  </si>
  <si>
    <t>M/s.IOCL GUJARAT</t>
  </si>
  <si>
    <t>5 NOS</t>
  </si>
  <si>
    <t>Yet to be sub-ordered</t>
  </si>
  <si>
    <t xml:space="preserve">NOT RECEIVED </t>
  </si>
  <si>
    <t>1.01</t>
  </si>
  <si>
    <t>N</t>
  </si>
  <si>
    <r>
      <t xml:space="preserve">For </t>
    </r>
    <r>
      <rPr>
        <b/>
        <u/>
        <sz val="11"/>
        <rFont val="Arial"/>
        <family val="2"/>
      </rPr>
      <t>BULK</t>
    </r>
    <r>
      <rPr>
        <b/>
        <sz val="11"/>
        <rFont val="Arial"/>
        <family val="2"/>
      </rPr>
      <t xml:space="preserve"> Items:</t>
    </r>
  </si>
  <si>
    <t>100</t>
  </si>
  <si>
    <t>100, 85</t>
  </si>
  <si>
    <t>J 4173</t>
  </si>
  <si>
    <t>BS VI, UNIT - HGU</t>
  </si>
  <si>
    <t xml:space="preserve">HEAT EXCHANGER - SS </t>
  </si>
  <si>
    <t xml:space="preserve">A885/6136/520/PO-173 </t>
  </si>
  <si>
    <t>09.05.2017</t>
  </si>
  <si>
    <t>A885-602-EE-PR-6136-0173</t>
  </si>
  <si>
    <t>02.06.2017</t>
  </si>
  <si>
    <t>Tubes - SA213TP321, SA213TP304</t>
  </si>
  <si>
    <t>Forgings- STD- SA182F321, SA182F304
NON STD- SA965F321, SA965F304</t>
  </si>
  <si>
    <t>SS plates-SA240GR321, SA240GR304</t>
  </si>
  <si>
    <t>CS plates-SA516GR60, SA516GR70</t>
  </si>
  <si>
    <t>MUMBAI</t>
  </si>
  <si>
    <t>GENERAL ASSEMBLY DETAILS - TEAM-HX-4173A-GA-001</t>
  </si>
  <si>
    <t>TUBE SHEET, TUBE BUNDLE, BAFFLE AND COMPONENT DETAILS - TEAM-HX-4173A-FD-001</t>
  </si>
  <si>
    <t>NOZZLES, SADDLE AND BILL OF MATERIALS - TEAM-HX-4173A-FD-002</t>
  </si>
  <si>
    <t>GASKET DETAILS- TEAM-HX-4173A-FD-003</t>
  </si>
  <si>
    <t>NAME PLATE DETAILS - TEAM-HX-4173A-FD-004</t>
  </si>
  <si>
    <t>MANDATORY SPARE DETAILS - TEAM-HX-4173A-FD-005</t>
  </si>
  <si>
    <t>GENERAL ASSEMBLY DETAILS- TEAM-HX-4173B-GA-001</t>
  </si>
  <si>
    <t>TUBE SHEET, TUBE BUNDLE, BAFFLE AND COMPONENT DETAILS- TEAM-HX-4173B-FD-001</t>
  </si>
  <si>
    <t>NOZZLES, SADDLE AND BILL OF MATERIALS- TEAM-HX-4173B-FD-002</t>
  </si>
  <si>
    <t>GASKET DETAILS - TEAM-HX-4173B-FD-003</t>
  </si>
  <si>
    <t>NAME PLATE DETAILS- TEAM-HX-4173B-FD-004</t>
  </si>
  <si>
    <t>MANDATORY SPARE DETAILS- TEAM-HX-4173B-FD-005</t>
  </si>
  <si>
    <t>GENERAL ASSEMBLY DETAILS- TEAM-HX-4173C-GA-001</t>
  </si>
  <si>
    <t>TUBE SHEET, TUBE BUNDLE, BAFFLE AND COMPONENT DETAILS- TEAM-HX-4173C-FD-001</t>
  </si>
  <si>
    <t>NOZZLES, SADDLE AND BILL OF MATERIALS - TEAM-HX-4173C-FD-002</t>
  </si>
  <si>
    <t>GASKET DETAILS- TEAM-HX-4173C-FD-003</t>
  </si>
  <si>
    <t>NAME PLATE DETAILS- TEAM-HX-4173C-FD-004</t>
  </si>
  <si>
    <t>MANDATORY SPARE DETAILS- TEAM-HX-4173C-FD-005</t>
  </si>
  <si>
    <t>SHUBHLAXMI METALS AND TUBES PVT.LTD.</t>
  </si>
  <si>
    <t>2.01</t>
  </si>
  <si>
    <t>2.02</t>
  </si>
  <si>
    <t>FEED/EFFLUENT EXCHANGER</t>
  </si>
  <si>
    <t>DMW PREHEATER</t>
  </si>
  <si>
    <t>PROCESS CONDENSATE FEED/EFFLUENT EXCHANGER</t>
  </si>
  <si>
    <t>602-E-02 A/B</t>
  </si>
  <si>
    <t>602-E-108</t>
  </si>
  <si>
    <t>602-E-126A/B</t>
  </si>
  <si>
    <t>984 X 5500</t>
  </si>
  <si>
    <t>1077 X 7590</t>
  </si>
  <si>
    <t>567 X 7330</t>
  </si>
  <si>
    <t>30.09.2017</t>
  </si>
  <si>
    <t>R</t>
  </si>
  <si>
    <t>04.07.2017</t>
  </si>
  <si>
    <t>NEW DELHI</t>
  </si>
  <si>
    <t>METAL FORGINGS  PRIVATE LIMITED</t>
  </si>
  <si>
    <t>NEWDELHI</t>
  </si>
  <si>
    <t>27.09.2017</t>
  </si>
  <si>
    <t>13.01.2018</t>
  </si>
  <si>
    <t>PARTIAL QUANTITY RECEIVED</t>
  </si>
  <si>
    <t>INTER SALES ENTERPRISE &amp; BHANSALI METALS</t>
  </si>
  <si>
    <t>01.09.2017 &amp; 26.10.2017</t>
  </si>
  <si>
    <t>20.09.2017 &amp; 10.11.2017</t>
  </si>
  <si>
    <t>NOT APPROVED  DRAWING IS REVISED</t>
  </si>
  <si>
    <t xml:space="preserve">Partial materials ordered and ordering
started on 04.07.2017 </t>
  </si>
  <si>
    <t>partial material received</t>
  </si>
  <si>
    <t>MANUFACTURING NOT YET STARTED</t>
  </si>
  <si>
    <t>MANUFACTURING STATUS  FOR TAG NO: 602-E-02 A/B</t>
  </si>
  <si>
    <t>MANUFACTURING STATUS  FOR TAG NO: 602-E-108</t>
  </si>
  <si>
    <t>MANUFACTURING STATUS  FOR TAG NO: 602-E-126A/B</t>
  </si>
  <si>
    <t>J4173</t>
  </si>
</sst>
</file>

<file path=xl/styles.xml><?xml version="1.0" encoding="utf-8"?>
<styleSheet xmlns="http://schemas.openxmlformats.org/spreadsheetml/2006/main">
  <numFmts count="2">
    <numFmt numFmtId="164" formatCode="[$-409]d\-mmm\-yy;@"/>
    <numFmt numFmtId="165" formatCode="[$-F800]dddd/\ mmmm\ dd/\ yyyy"/>
  </numFmts>
  <fonts count="25">
    <font>
      <sz val="10"/>
      <name val="Arial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7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u/>
      <sz val="8"/>
      <name val="Arial"/>
      <family val="2"/>
    </font>
    <font>
      <vertAlign val="subscript"/>
      <sz val="8"/>
      <name val="Arial"/>
      <family val="2"/>
    </font>
    <font>
      <u/>
      <sz val="9.8000000000000007"/>
      <color theme="10"/>
      <name val="Arial"/>
      <family val="2"/>
    </font>
    <font>
      <sz val="8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sz val="9.8000000000000007"/>
      <color theme="10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b/>
      <sz val="14"/>
      <name val="Arial"/>
      <family val="2"/>
    </font>
    <font>
      <b/>
      <sz val="12"/>
      <name val="Verdana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279">
    <xf numFmtId="0" fontId="0" fillId="0" borderId="0" xfId="0"/>
    <xf numFmtId="0" fontId="2" fillId="0" borderId="0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right" vertical="top" wrapText="1"/>
    </xf>
    <xf numFmtId="0" fontId="0" fillId="0" borderId="0" xfId="0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right" vertical="top"/>
    </xf>
    <xf numFmtId="0" fontId="4" fillId="2" borderId="2" xfId="0" applyNumberFormat="1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14" fontId="4" fillId="2" borderId="2" xfId="0" applyNumberFormat="1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4" fillId="0" borderId="2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14" fontId="4" fillId="0" borderId="2" xfId="0" applyNumberFormat="1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0" fillId="0" borderId="7" xfId="0" applyFont="1" applyBorder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  <xf numFmtId="0" fontId="12" fillId="0" borderId="0" xfId="0" applyFont="1" applyAlignment="1">
      <alignment horizontal="right" vertical="top" wrapText="1"/>
    </xf>
    <xf numFmtId="0" fontId="7" fillId="3" borderId="2" xfId="0" applyFont="1" applyFill="1" applyBorder="1" applyAlignment="1">
      <alignment horizontal="right" vertical="top"/>
    </xf>
    <xf numFmtId="15" fontId="3" fillId="3" borderId="8" xfId="0" applyNumberFormat="1" applyFont="1" applyFill="1" applyBorder="1" applyAlignment="1">
      <alignment vertical="top" wrapText="1"/>
    </xf>
    <xf numFmtId="15" fontId="7" fillId="3" borderId="2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center" vertical="top" wrapText="1"/>
    </xf>
    <xf numFmtId="14" fontId="3" fillId="3" borderId="2" xfId="0" applyNumberFormat="1" applyFont="1" applyFill="1" applyBorder="1" applyAlignment="1">
      <alignment horizontal="left" vertical="top"/>
    </xf>
    <xf numFmtId="0" fontId="3" fillId="3" borderId="9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49" fontId="8" fillId="0" borderId="2" xfId="0" applyNumberFormat="1" applyFont="1" applyFill="1" applyBorder="1" applyAlignment="1">
      <alignment horizontal="center" vertical="top" wrapText="1"/>
    </xf>
    <xf numFmtId="49" fontId="4" fillId="0" borderId="2" xfId="0" applyNumberFormat="1" applyFont="1" applyFill="1" applyBorder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right" vertical="top" wrapText="1"/>
    </xf>
    <xf numFmtId="0" fontId="8" fillId="0" borderId="0" xfId="0" applyFont="1" applyAlignment="1">
      <alignment vertical="top"/>
    </xf>
    <xf numFmtId="49" fontId="4" fillId="0" borderId="2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Alignment="1"/>
    <xf numFmtId="0" fontId="4" fillId="2" borderId="2" xfId="0" applyFont="1" applyFill="1" applyBorder="1" applyAlignment="1">
      <alignment vertical="top" textRotation="255" wrapText="1"/>
    </xf>
    <xf numFmtId="0" fontId="4" fillId="0" borderId="0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vertical="top" wrapText="1"/>
    </xf>
    <xf numFmtId="14" fontId="3" fillId="5" borderId="2" xfId="0" applyNumberFormat="1" applyFont="1" applyFill="1" applyBorder="1" applyAlignment="1">
      <alignment horizontal="left" vertical="top"/>
    </xf>
    <xf numFmtId="0" fontId="5" fillId="0" borderId="3" xfId="0" applyFont="1" applyFill="1" applyBorder="1" applyAlignment="1">
      <alignment horizontal="left" vertical="top" wrapText="1"/>
    </xf>
    <xf numFmtId="0" fontId="0" fillId="0" borderId="10" xfId="0" applyBorder="1" applyAlignment="1">
      <alignment vertical="top"/>
    </xf>
    <xf numFmtId="15" fontId="0" fillId="0" borderId="2" xfId="0" applyNumberForma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1" fontId="0" fillId="0" borderId="0" xfId="0" applyNumberFormat="1" applyBorder="1" applyAlignment="1">
      <alignment horizontal="left" vertical="center"/>
    </xf>
    <xf numFmtId="15" fontId="5" fillId="0" borderId="0" xfId="0" quotePrefix="1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vertical="center" wrapText="1"/>
    </xf>
    <xf numFmtId="15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49" fontId="16" fillId="0" borderId="2" xfId="0" applyNumberFormat="1" applyFont="1" applyBorder="1" applyAlignment="1">
      <alignment vertical="top"/>
    </xf>
    <xf numFmtId="49" fontId="16" fillId="0" borderId="2" xfId="0" applyNumberFormat="1" applyFont="1" applyBorder="1" applyAlignment="1">
      <alignment vertical="top" wrapText="1"/>
    </xf>
    <xf numFmtId="49" fontId="4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vertical="top" wrapText="1"/>
    </xf>
    <xf numFmtId="164" fontId="4" fillId="0" borderId="2" xfId="0" applyNumberFormat="1" applyFont="1" applyBorder="1" applyAlignment="1">
      <alignment horizontal="left" vertical="top"/>
    </xf>
    <xf numFmtId="14" fontId="5" fillId="0" borderId="2" xfId="0" applyNumberFormat="1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top" wrapText="1"/>
    </xf>
    <xf numFmtId="14" fontId="3" fillId="6" borderId="2" xfId="0" applyNumberFormat="1" applyFont="1" applyFill="1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0" fillId="0" borderId="20" xfId="0" applyFont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2" fontId="0" fillId="0" borderId="2" xfId="0" applyNumberFormat="1" applyBorder="1"/>
    <xf numFmtId="0" fontId="0" fillId="0" borderId="7" xfId="0" applyFill="1" applyBorder="1" applyAlignment="1">
      <alignment horizontal="center" vertical="center" wrapText="1"/>
    </xf>
    <xf numFmtId="165" fontId="0" fillId="0" borderId="7" xfId="0" applyNumberFormat="1" applyFill="1" applyBorder="1" applyAlignment="1">
      <alignment horizontal="center" vertical="center" wrapText="1"/>
    </xf>
    <xf numFmtId="165" fontId="0" fillId="0" borderId="0" xfId="0" applyNumberFormat="1" applyFill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18" fillId="0" borderId="0" xfId="0" applyFont="1" applyAlignment="1">
      <alignment horizontal="left" vertical="top" wrapText="1"/>
    </xf>
    <xf numFmtId="165" fontId="19" fillId="3" borderId="2" xfId="1" applyNumberFormat="1" applyFont="1" applyFill="1" applyBorder="1" applyAlignment="1" applyProtection="1">
      <alignment horizontal="left" vertical="top" wrapText="1"/>
    </xf>
    <xf numFmtId="15" fontId="5" fillId="0" borderId="3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1" fontId="9" fillId="0" borderId="0" xfId="0" applyNumberFormat="1" applyFont="1"/>
    <xf numFmtId="0" fontId="5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vertical="center" wrapText="1"/>
    </xf>
    <xf numFmtId="2" fontId="0" fillId="0" borderId="0" xfId="0" applyNumberFormat="1" applyBorder="1"/>
    <xf numFmtId="15" fontId="5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4" fillId="0" borderId="0" xfId="2" applyNumberFormat="1" applyFont="1" applyAlignment="1">
      <alignment vertical="top"/>
    </xf>
    <xf numFmtId="0" fontId="4" fillId="0" borderId="0" xfId="2" applyFont="1" applyAlignment="1">
      <alignment vertical="top"/>
    </xf>
    <xf numFmtId="15" fontId="7" fillId="3" borderId="2" xfId="2" applyNumberFormat="1" applyFont="1" applyFill="1" applyBorder="1" applyAlignment="1">
      <alignment horizontal="right" vertical="top"/>
    </xf>
    <xf numFmtId="0" fontId="4" fillId="0" borderId="0" xfId="2" applyFont="1" applyBorder="1" applyAlignment="1">
      <alignment vertical="top"/>
    </xf>
    <xf numFmtId="0" fontId="7" fillId="3" borderId="2" xfId="2" applyFont="1" applyFill="1" applyBorder="1" applyAlignment="1">
      <alignment horizontal="right" vertical="top"/>
    </xf>
    <xf numFmtId="0" fontId="1" fillId="0" borderId="0" xfId="2"/>
    <xf numFmtId="0" fontId="1" fillId="0" borderId="0" xfId="2" applyAlignment="1">
      <alignment wrapText="1"/>
    </xf>
    <xf numFmtId="0" fontId="4" fillId="2" borderId="2" xfId="2" applyNumberFormat="1" applyFont="1" applyFill="1" applyBorder="1" applyAlignment="1">
      <alignment vertical="top" wrapText="1"/>
    </xf>
    <xf numFmtId="0" fontId="4" fillId="2" borderId="2" xfId="2" applyFont="1" applyFill="1" applyBorder="1" applyAlignment="1">
      <alignment vertical="top" wrapText="1"/>
    </xf>
    <xf numFmtId="0" fontId="4" fillId="2" borderId="2" xfId="2" applyFont="1" applyFill="1" applyBorder="1" applyAlignment="1">
      <alignment vertical="top" textRotation="255" wrapText="1"/>
    </xf>
    <xf numFmtId="14" fontId="4" fillId="2" borderId="2" xfId="2" applyNumberFormat="1" applyFont="1" applyFill="1" applyBorder="1" applyAlignment="1">
      <alignment vertical="top" wrapText="1"/>
    </xf>
    <xf numFmtId="49" fontId="4" fillId="0" borderId="2" xfId="2" applyNumberFormat="1" applyFont="1" applyFill="1" applyBorder="1" applyAlignment="1">
      <alignment vertical="top" wrapText="1"/>
    </xf>
    <xf numFmtId="49" fontId="4" fillId="0" borderId="2" xfId="2" applyNumberFormat="1" applyFont="1" applyFill="1" applyBorder="1" applyAlignment="1">
      <alignment horizontal="center" vertical="top" wrapText="1"/>
    </xf>
    <xf numFmtId="0" fontId="4" fillId="3" borderId="2" xfId="2" applyFont="1" applyFill="1" applyBorder="1" applyAlignment="1">
      <alignment vertical="top" wrapText="1"/>
    </xf>
    <xf numFmtId="0" fontId="4" fillId="4" borderId="2" xfId="2" applyFont="1" applyFill="1" applyBorder="1" applyAlignment="1">
      <alignment vertical="top" wrapText="1"/>
    </xf>
    <xf numFmtId="0" fontId="4" fillId="0" borderId="2" xfId="2" applyFont="1" applyFill="1" applyBorder="1" applyAlignment="1">
      <alignment vertical="top" wrapText="1"/>
    </xf>
    <xf numFmtId="0" fontId="4" fillId="0" borderId="2" xfId="2" applyFont="1" applyFill="1" applyBorder="1" applyAlignment="1">
      <alignment horizontal="center" vertical="top" wrapText="1"/>
    </xf>
    <xf numFmtId="14" fontId="4" fillId="0" borderId="2" xfId="2" applyNumberFormat="1" applyFont="1" applyFill="1" applyBorder="1" applyAlignment="1">
      <alignment horizontal="center" vertical="top" wrapText="1"/>
    </xf>
    <xf numFmtId="49" fontId="8" fillId="0" borderId="2" xfId="2" applyNumberFormat="1" applyFont="1" applyFill="1" applyBorder="1" applyAlignment="1">
      <alignment horizontal="center" vertical="top" wrapText="1"/>
    </xf>
    <xf numFmtId="0" fontId="4" fillId="0" borderId="0" xfId="2" applyNumberFormat="1" applyFont="1" applyAlignment="1"/>
    <xf numFmtId="0" fontId="4" fillId="0" borderId="0" xfId="2" applyFont="1" applyAlignment="1">
      <alignment wrapText="1"/>
    </xf>
    <xf numFmtId="0" fontId="8" fillId="3" borderId="2" xfId="2" applyFont="1" applyFill="1" applyBorder="1" applyAlignment="1">
      <alignment vertical="top" wrapText="1"/>
    </xf>
    <xf numFmtId="0" fontId="4" fillId="3" borderId="2" xfId="2" applyFont="1" applyFill="1" applyBorder="1" applyAlignment="1">
      <alignment horizontal="center" vertical="top" wrapText="1"/>
    </xf>
    <xf numFmtId="0" fontId="4" fillId="0" borderId="0" xfId="2" applyFont="1" applyAlignment="1">
      <alignment vertical="top" wrapText="1"/>
    </xf>
    <xf numFmtId="0" fontId="20" fillId="0" borderId="0" xfId="2" applyFont="1" applyAlignment="1">
      <alignment vertical="top"/>
    </xf>
    <xf numFmtId="0" fontId="22" fillId="0" borderId="0" xfId="2" applyFont="1" applyAlignment="1">
      <alignment vertical="top"/>
    </xf>
    <xf numFmtId="0" fontId="4" fillId="0" borderId="2" xfId="2" applyFont="1" applyBorder="1" applyAlignment="1">
      <alignment horizontal="center" vertical="top"/>
    </xf>
    <xf numFmtId="164" fontId="4" fillId="0" borderId="2" xfId="2" applyNumberFormat="1" applyFont="1" applyBorder="1" applyAlignment="1">
      <alignment vertical="top"/>
    </xf>
    <xf numFmtId="0" fontId="4" fillId="0" borderId="0" xfId="2" applyFont="1" applyAlignment="1">
      <alignment horizontal="right" vertical="top"/>
    </xf>
    <xf numFmtId="0" fontId="4" fillId="0" borderId="2" xfId="2" applyFont="1" applyBorder="1" applyAlignment="1">
      <alignment vertical="top"/>
    </xf>
    <xf numFmtId="14" fontId="1" fillId="7" borderId="2" xfId="0" applyNumberFormat="1" applyFont="1" applyFill="1" applyBorder="1" applyAlignment="1">
      <alignment horizontal="left" vertical="center" wrapText="1"/>
    </xf>
    <xf numFmtId="9" fontId="4" fillId="0" borderId="2" xfId="2" applyNumberFormat="1" applyFont="1" applyFill="1" applyBorder="1" applyAlignment="1">
      <alignment vertical="top" wrapText="1"/>
    </xf>
    <xf numFmtId="0" fontId="3" fillId="0" borderId="3" xfId="0" applyFont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165" fontId="0" fillId="0" borderId="20" xfId="0" applyNumberForma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2" xfId="2" applyFont="1" applyFill="1" applyBorder="1" applyAlignment="1">
      <alignment horizontal="left" vertical="center" wrapText="1"/>
    </xf>
    <xf numFmtId="1" fontId="1" fillId="0" borderId="2" xfId="2" applyNumberFormat="1" applyFont="1" applyFill="1" applyBorder="1" applyAlignment="1">
      <alignment horizontal="left" vertical="center" wrapText="1"/>
    </xf>
    <xf numFmtId="15" fontId="0" fillId="0" borderId="0" xfId="0" applyNumberFormat="1" applyFill="1" applyAlignment="1">
      <alignment horizontal="left"/>
    </xf>
    <xf numFmtId="14" fontId="1" fillId="0" borderId="2" xfId="2" applyNumberFormat="1" applyFont="1" applyFill="1" applyBorder="1" applyAlignment="1">
      <alignment horizontal="left" vertical="center" wrapText="1"/>
    </xf>
    <xf numFmtId="15" fontId="1" fillId="0" borderId="22" xfId="0" applyNumberFormat="1" applyFont="1" applyFill="1" applyBorder="1" applyAlignment="1">
      <alignment horizontal="center" vertical="center" wrapText="1"/>
    </xf>
    <xf numFmtId="0" fontId="1" fillId="0" borderId="22" xfId="2" applyFont="1" applyFill="1" applyBorder="1" applyAlignment="1">
      <alignment horizontal="left" vertical="center" wrapText="1"/>
    </xf>
    <xf numFmtId="1" fontId="0" fillId="0" borderId="0" xfId="0" applyNumberFormat="1" applyFill="1" applyAlignment="1">
      <alignment horizontal="left" vertical="center"/>
    </xf>
    <xf numFmtId="15" fontId="0" fillId="0" borderId="0" xfId="0" applyNumberFormat="1" applyFill="1" applyAlignment="1">
      <alignment horizontal="center" vertical="center"/>
    </xf>
    <xf numFmtId="0" fontId="9" fillId="0" borderId="1" xfId="2" applyFont="1" applyFill="1" applyBorder="1" applyAlignment="1">
      <alignment vertical="center" wrapText="1"/>
    </xf>
    <xf numFmtId="1" fontId="1" fillId="0" borderId="2" xfId="2" applyNumberFormat="1" applyFont="1" applyFill="1" applyBorder="1" applyAlignment="1">
      <alignment horizontal="center" vertical="center"/>
    </xf>
    <xf numFmtId="15" fontId="1" fillId="0" borderId="9" xfId="2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2" applyFont="1" applyFill="1" applyBorder="1" applyAlignment="1">
      <alignment horizontal="left" vertical="top" wrapText="1"/>
    </xf>
    <xf numFmtId="1" fontId="1" fillId="0" borderId="22" xfId="2" applyNumberFormat="1" applyFill="1" applyBorder="1" applyAlignment="1">
      <alignment horizontal="left" vertical="center"/>
    </xf>
    <xf numFmtId="15" fontId="1" fillId="0" borderId="2" xfId="2" applyNumberFormat="1" applyFont="1" applyFill="1" applyBorder="1" applyAlignment="1">
      <alignment horizontal="left" vertical="center"/>
    </xf>
    <xf numFmtId="0" fontId="1" fillId="0" borderId="21" xfId="2" applyFont="1" applyFill="1" applyBorder="1" applyAlignment="1">
      <alignment horizontal="left" vertical="center" wrapText="1"/>
    </xf>
    <xf numFmtId="1" fontId="0" fillId="0" borderId="0" xfId="0" applyNumberFormat="1" applyFill="1" applyAlignment="1">
      <alignment horizontal="center" vertical="center"/>
    </xf>
    <xf numFmtId="15" fontId="1" fillId="0" borderId="2" xfId="2" applyNumberFormat="1" applyFont="1" applyFill="1" applyBorder="1" applyAlignment="1">
      <alignment horizontal="center" vertical="center"/>
    </xf>
    <xf numFmtId="1" fontId="0" fillId="0" borderId="2" xfId="0" applyNumberFormat="1" applyFill="1" applyBorder="1"/>
    <xf numFmtId="15" fontId="5" fillId="0" borderId="22" xfId="0" applyNumberFormat="1" applyFont="1" applyFill="1" applyBorder="1" applyAlignment="1">
      <alignment horizontal="center" vertical="center"/>
    </xf>
    <xf numFmtId="14" fontId="5" fillId="0" borderId="3" xfId="0" applyNumberFormat="1" applyFont="1" applyFill="1" applyBorder="1" applyAlignment="1">
      <alignment horizontal="left" vertical="center" wrapText="1"/>
    </xf>
    <xf numFmtId="14" fontId="1" fillId="0" borderId="2" xfId="0" applyNumberFormat="1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/>
    </xf>
    <xf numFmtId="15" fontId="1" fillId="0" borderId="3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vertical="top"/>
    </xf>
    <xf numFmtId="0" fontId="24" fillId="0" borderId="0" xfId="2" applyNumberFormat="1" applyFont="1" applyAlignme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14" fontId="3" fillId="5" borderId="1" xfId="0" applyNumberFormat="1" applyFont="1" applyFill="1" applyBorder="1" applyAlignment="1">
      <alignment horizontal="left" vertical="top" wrapText="1"/>
    </xf>
    <xf numFmtId="14" fontId="3" fillId="5" borderId="3" xfId="0" applyNumberFormat="1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right" vertical="top" wrapText="1"/>
    </xf>
    <xf numFmtId="14" fontId="5" fillId="0" borderId="1" xfId="0" applyNumberFormat="1" applyFont="1" applyBorder="1" applyAlignment="1">
      <alignment horizontal="left" vertical="top" wrapText="1"/>
    </xf>
    <xf numFmtId="14" fontId="5" fillId="0" borderId="12" xfId="0" applyNumberFormat="1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0" xfId="0" applyFont="1" applyFill="1" applyAlignment="1">
      <alignment horizontal="righ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5" fillId="5" borderId="10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17" fillId="5" borderId="1" xfId="0" applyFont="1" applyFill="1" applyBorder="1" applyAlignment="1">
      <alignment horizontal="left" vertical="top" wrapText="1"/>
    </xf>
    <xf numFmtId="0" fontId="17" fillId="5" borderId="10" xfId="0" applyFont="1" applyFill="1" applyBorder="1" applyAlignment="1">
      <alignment horizontal="left" vertical="top" wrapText="1"/>
    </xf>
    <xf numFmtId="0" fontId="17" fillId="5" borderId="3" xfId="0" applyFont="1" applyFill="1" applyBorder="1" applyAlignment="1">
      <alignment horizontal="left" vertical="top" wrapText="1"/>
    </xf>
    <xf numFmtId="0" fontId="10" fillId="0" borderId="17" xfId="0" applyFont="1" applyBorder="1" applyAlignment="1">
      <alignment horizontal="center" vertical="top" wrapText="1"/>
    </xf>
    <xf numFmtId="0" fontId="10" fillId="0" borderId="18" xfId="0" applyFont="1" applyBorder="1" applyAlignment="1">
      <alignment horizontal="center" vertical="top" wrapText="1"/>
    </xf>
    <xf numFmtId="14" fontId="3" fillId="3" borderId="17" xfId="0" applyNumberFormat="1" applyFont="1" applyFill="1" applyBorder="1" applyAlignment="1">
      <alignment horizontal="center" vertical="top"/>
    </xf>
    <xf numFmtId="0" fontId="3" fillId="3" borderId="18" xfId="0" applyFont="1" applyFill="1" applyBorder="1" applyAlignment="1">
      <alignment horizontal="center" vertical="top"/>
    </xf>
    <xf numFmtId="0" fontId="17" fillId="0" borderId="19" xfId="0" applyFont="1" applyBorder="1" applyAlignment="1">
      <alignment horizontal="left" vertical="top" wrapText="1"/>
    </xf>
    <xf numFmtId="0" fontId="17" fillId="0" borderId="15" xfId="0" applyFont="1" applyBorder="1" applyAlignment="1">
      <alignment horizontal="left" vertical="top" wrapText="1"/>
    </xf>
    <xf numFmtId="0" fontId="17" fillId="0" borderId="6" xfId="0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14" fontId="3" fillId="0" borderId="12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vertical="top"/>
    </xf>
    <xf numFmtId="164" fontId="4" fillId="0" borderId="2" xfId="0" applyNumberFormat="1" applyFont="1" applyBorder="1" applyAlignment="1">
      <alignment horizontal="left" vertical="top"/>
    </xf>
    <xf numFmtId="49" fontId="16" fillId="0" borderId="2" xfId="0" applyNumberFormat="1" applyFont="1" applyBorder="1" applyAlignment="1">
      <alignment vertical="top"/>
    </xf>
    <xf numFmtId="164" fontId="4" fillId="0" borderId="1" xfId="0" applyNumberFormat="1" applyFont="1" applyBorder="1" applyAlignment="1">
      <alignment horizontal="left" vertical="top"/>
    </xf>
    <xf numFmtId="164" fontId="4" fillId="0" borderId="10" xfId="0" applyNumberFormat="1" applyFont="1" applyBorder="1" applyAlignment="1">
      <alignment horizontal="left" vertical="top"/>
    </xf>
    <xf numFmtId="164" fontId="4" fillId="0" borderId="3" xfId="0" applyNumberFormat="1" applyFont="1" applyBorder="1" applyAlignment="1">
      <alignment horizontal="left" vertical="top"/>
    </xf>
    <xf numFmtId="0" fontId="4" fillId="0" borderId="2" xfId="0" applyFont="1" applyBorder="1" applyAlignment="1">
      <alignment vertical="top" wrapText="1"/>
    </xf>
    <xf numFmtId="0" fontId="4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4" fillId="0" borderId="1" xfId="0" applyFont="1" applyBorder="1" applyAlignment="1">
      <alignment horizontal="right" wrapText="1"/>
    </xf>
    <xf numFmtId="0" fontId="4" fillId="0" borderId="10" xfId="0" applyFont="1" applyBorder="1" applyAlignment="1">
      <alignment horizontal="right" wrapText="1"/>
    </xf>
    <xf numFmtId="0" fontId="4" fillId="0" borderId="0" xfId="0" applyFont="1" applyAlignment="1">
      <alignment horizontal="right" vertical="top"/>
    </xf>
    <xf numFmtId="0" fontId="4" fillId="0" borderId="1" xfId="0" applyFont="1" applyFill="1" applyBorder="1" applyAlignment="1">
      <alignment vertical="top"/>
    </xf>
    <xf numFmtId="0" fontId="4" fillId="0" borderId="10" xfId="0" applyFont="1" applyFill="1" applyBorder="1" applyAlignment="1">
      <alignment vertical="top"/>
    </xf>
    <xf numFmtId="0" fontId="4" fillId="0" borderId="3" xfId="0" applyFont="1" applyFill="1" applyBorder="1" applyAlignment="1">
      <alignment vertical="top"/>
    </xf>
    <xf numFmtId="49" fontId="4" fillId="0" borderId="2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/>
    </xf>
    <xf numFmtId="49" fontId="4" fillId="0" borderId="10" xfId="0" applyNumberFormat="1" applyFont="1" applyBorder="1" applyAlignment="1">
      <alignment horizontal="left" vertical="top"/>
    </xf>
    <xf numFmtId="49" fontId="4" fillId="0" borderId="3" xfId="0" applyNumberFormat="1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8" fillId="0" borderId="2" xfId="0" applyFont="1" applyBorder="1" applyAlignment="1">
      <alignment vertical="top"/>
    </xf>
    <xf numFmtId="164" fontId="4" fillId="0" borderId="2" xfId="2" applyNumberFormat="1" applyFont="1" applyBorder="1" applyAlignment="1">
      <alignment horizontal="left" vertical="top" wrapText="1"/>
    </xf>
    <xf numFmtId="164" fontId="4" fillId="0" borderId="2" xfId="2" applyNumberFormat="1" applyFont="1" applyBorder="1" applyAlignment="1">
      <alignment horizontal="left" vertical="top"/>
    </xf>
    <xf numFmtId="164" fontId="4" fillId="0" borderId="1" xfId="2" applyNumberFormat="1" applyFont="1" applyBorder="1" applyAlignment="1">
      <alignment horizontal="center" vertical="top"/>
    </xf>
    <xf numFmtId="164" fontId="4" fillId="0" borderId="10" xfId="2" applyNumberFormat="1" applyFont="1" applyBorder="1" applyAlignment="1">
      <alignment horizontal="center" vertical="top"/>
    </xf>
    <xf numFmtId="164" fontId="4" fillId="0" borderId="3" xfId="2" applyNumberFormat="1" applyFont="1" applyBorder="1" applyAlignment="1">
      <alignment horizontal="center" vertical="top"/>
    </xf>
    <xf numFmtId="0" fontId="4" fillId="0" borderId="2" xfId="2" applyFont="1" applyBorder="1" applyAlignment="1">
      <alignment vertical="top"/>
    </xf>
    <xf numFmtId="164" fontId="4" fillId="0" borderId="1" xfId="2" applyNumberFormat="1" applyFont="1" applyBorder="1" applyAlignment="1">
      <alignment horizontal="center" vertical="top" wrapText="1"/>
    </xf>
    <xf numFmtId="164" fontId="4" fillId="0" borderId="10" xfId="2" applyNumberFormat="1" applyFont="1" applyBorder="1" applyAlignment="1">
      <alignment horizontal="center" vertical="top" wrapText="1"/>
    </xf>
    <xf numFmtId="164" fontId="4" fillId="0" borderId="3" xfId="2" applyNumberFormat="1" applyFont="1" applyBorder="1" applyAlignment="1">
      <alignment horizontal="center" vertical="top" wrapText="1"/>
    </xf>
    <xf numFmtId="164" fontId="4" fillId="0" borderId="2" xfId="2" applyNumberFormat="1" applyFont="1" applyBorder="1" applyAlignment="1">
      <alignment horizontal="center" vertical="top"/>
    </xf>
    <xf numFmtId="0" fontId="8" fillId="0" borderId="15" xfId="2" applyFont="1" applyBorder="1" applyAlignment="1">
      <alignment horizontal="left" vertical="top"/>
    </xf>
    <xf numFmtId="0" fontId="4" fillId="0" borderId="1" xfId="2" applyFont="1" applyFill="1" applyBorder="1" applyAlignment="1">
      <alignment vertical="top"/>
    </xf>
    <xf numFmtId="0" fontId="4" fillId="0" borderId="10" xfId="2" applyFont="1" applyFill="1" applyBorder="1" applyAlignment="1">
      <alignment vertical="top"/>
    </xf>
    <xf numFmtId="0" fontId="4" fillId="0" borderId="3" xfId="2" applyFont="1" applyFill="1" applyBorder="1" applyAlignment="1">
      <alignment vertical="top"/>
    </xf>
    <xf numFmtId="0" fontId="8" fillId="0" borderId="2" xfId="2" applyFont="1" applyBorder="1" applyAlignment="1">
      <alignment vertical="top"/>
    </xf>
    <xf numFmtId="0" fontId="4" fillId="0" borderId="2" xfId="2" applyFont="1" applyBorder="1" applyAlignment="1">
      <alignment vertical="top" wrapText="1"/>
    </xf>
    <xf numFmtId="0" fontId="4" fillId="0" borderId="2" xfId="2" applyFont="1" applyBorder="1" applyAlignment="1">
      <alignment horizontal="left" vertical="top" wrapText="1"/>
    </xf>
    <xf numFmtId="0" fontId="4" fillId="0" borderId="1" xfId="2" applyFont="1" applyBorder="1" applyAlignment="1">
      <alignment horizontal="center" vertical="top" wrapText="1"/>
    </xf>
    <xf numFmtId="0" fontId="4" fillId="0" borderId="10" xfId="2" applyFont="1" applyBorder="1" applyAlignment="1">
      <alignment horizontal="center" vertical="top" wrapText="1"/>
    </xf>
    <xf numFmtId="0" fontId="4" fillId="0" borderId="3" xfId="2" applyFont="1" applyBorder="1" applyAlignment="1">
      <alignment horizontal="center" vertical="top" wrapText="1"/>
    </xf>
    <xf numFmtId="0" fontId="4" fillId="0" borderId="0" xfId="2" applyFont="1" applyAlignment="1">
      <alignment horizontal="right" vertical="top"/>
    </xf>
    <xf numFmtId="0" fontId="4" fillId="0" borderId="0" xfId="2" applyFont="1" applyBorder="1" applyAlignment="1">
      <alignment horizontal="left" vertical="top"/>
    </xf>
    <xf numFmtId="0" fontId="1" fillId="0" borderId="0" xfId="2" applyBorder="1" applyAlignment="1">
      <alignment horizontal="left" vertical="top"/>
    </xf>
    <xf numFmtId="0" fontId="4" fillId="0" borderId="1" xfId="2" applyFont="1" applyBorder="1" applyAlignment="1">
      <alignment horizontal="right" wrapText="1"/>
    </xf>
    <xf numFmtId="0" fontId="4" fillId="0" borderId="10" xfId="2" applyFont="1" applyBorder="1" applyAlignment="1">
      <alignment horizontal="right" wrapText="1"/>
    </xf>
    <xf numFmtId="1" fontId="3" fillId="0" borderId="1" xfId="0" applyNumberFormat="1" applyFont="1" applyFill="1" applyBorder="1" applyAlignment="1">
      <alignment horizontal="left" vertical="top" wrapText="1"/>
    </xf>
    <xf numFmtId="1" fontId="3" fillId="0" borderId="12" xfId="0" applyNumberFormat="1" applyFont="1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racts-Nanda/AppData/Local/Microsoft/Windows/Temporary%20Internet%20Files/Content.Outlook/RG0UPIHH/PPC/PROGRESS%20REPORT%20CORRECTION/PROGRESS%20REPORT%20CORRECTION/4077%20JUNE%20PROGRESS%20REPORT%2012JUNE201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4077-A609 097-I"/>
      <sheetName val="4077-A609 097-II"/>
    </sheetNames>
    <sheetDataSet>
      <sheetData sheetId="0">
        <row r="1">
          <cell r="F1">
            <v>42898</v>
          </cell>
        </row>
        <row r="2">
          <cell r="F2" t="str">
            <v>Vendor'sInternalWork Order Ref.</v>
          </cell>
        </row>
        <row r="5">
          <cell r="B5" t="str">
            <v>TITANIUM EQUIPMENT AND ANODE MFG CO LTD</v>
          </cell>
        </row>
        <row r="8">
          <cell r="B8" t="str">
            <v>HEAT EXCHANGER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77"/>
  <sheetViews>
    <sheetView showGridLines="0" tabSelected="1" zoomScale="98" zoomScaleNormal="98" workbookViewId="0">
      <selection activeCell="B6" sqref="B6:G6"/>
    </sheetView>
  </sheetViews>
  <sheetFormatPr defaultRowHeight="12.75"/>
  <cols>
    <col min="1" max="1" width="38.140625" style="7" customWidth="1"/>
    <col min="2" max="2" width="41.5703125" style="7" customWidth="1"/>
    <col min="3" max="3" width="29.85546875" style="7" bestFit="1" customWidth="1"/>
    <col min="4" max="4" width="24.85546875" style="7" bestFit="1" customWidth="1"/>
    <col min="5" max="5" width="20.140625" style="7" customWidth="1"/>
    <col min="6" max="6" width="11.85546875" style="7" customWidth="1"/>
    <col min="7" max="7" width="23.7109375" style="7" bestFit="1" customWidth="1"/>
    <col min="8" max="9" width="9.140625" style="7"/>
    <col min="10" max="12" width="10.28515625" style="7" bestFit="1" customWidth="1"/>
    <col min="13" max="16384" width="9.140625" style="7"/>
  </cols>
  <sheetData>
    <row r="1" spans="1:11">
      <c r="A1" s="197" t="s">
        <v>63</v>
      </c>
      <c r="B1" s="197"/>
      <c r="C1" s="42">
        <v>4</v>
      </c>
      <c r="D1" s="51"/>
      <c r="E1" s="50" t="s">
        <v>75</v>
      </c>
      <c r="F1" s="40">
        <v>43048</v>
      </c>
      <c r="G1" s="51"/>
    </row>
    <row r="2" spans="1:11" s="3" customFormat="1" ht="18">
      <c r="A2" s="204" t="s">
        <v>66</v>
      </c>
      <c r="B2" s="204"/>
      <c r="C2" s="204"/>
      <c r="D2" s="205"/>
      <c r="E2" s="33" t="s">
        <v>61</v>
      </c>
      <c r="F2" s="211" t="s">
        <v>60</v>
      </c>
      <c r="G2" s="212"/>
    </row>
    <row r="3" spans="1:11" s="3" customFormat="1" ht="21.75" customHeight="1">
      <c r="A3" s="206"/>
      <c r="B3" s="206"/>
      <c r="C3" s="206"/>
      <c r="D3" s="207"/>
      <c r="E3" s="40">
        <v>43183</v>
      </c>
      <c r="F3" s="213" t="s">
        <v>146</v>
      </c>
      <c r="G3" s="214"/>
    </row>
    <row r="4" spans="1:11" ht="39" customHeight="1">
      <c r="A4" s="4" t="s">
        <v>32</v>
      </c>
      <c r="B4" s="30" t="s">
        <v>137</v>
      </c>
      <c r="C4" s="10" t="s">
        <v>28</v>
      </c>
      <c r="D4" s="215" t="s">
        <v>147</v>
      </c>
      <c r="E4" s="216"/>
      <c r="F4" s="217"/>
      <c r="G4" s="46" t="s">
        <v>68</v>
      </c>
    </row>
    <row r="5" spans="1:11" ht="38.25" customHeight="1">
      <c r="A5" s="4" t="s">
        <v>31</v>
      </c>
      <c r="B5" s="175" t="s">
        <v>111</v>
      </c>
      <c r="C5" s="176"/>
      <c r="D5" s="13" t="s">
        <v>29</v>
      </c>
      <c r="E5" s="187" t="s">
        <v>112</v>
      </c>
      <c r="F5" s="188"/>
      <c r="G5" s="93">
        <v>43197</v>
      </c>
    </row>
    <row r="6" spans="1:11">
      <c r="A6" s="4" t="s">
        <v>0</v>
      </c>
      <c r="B6" s="201"/>
      <c r="C6" s="202"/>
      <c r="D6" s="202"/>
      <c r="E6" s="202"/>
      <c r="F6" s="202"/>
      <c r="G6" s="203"/>
    </row>
    <row r="7" spans="1:11">
      <c r="A7" s="4" t="s">
        <v>1</v>
      </c>
      <c r="B7" s="60"/>
      <c r="C7" s="177" t="s">
        <v>26</v>
      </c>
      <c r="D7" s="178"/>
      <c r="E7" s="178"/>
      <c r="F7" s="179"/>
      <c r="G7" s="60"/>
    </row>
    <row r="8" spans="1:11">
      <c r="A8" s="15" t="s">
        <v>13</v>
      </c>
      <c r="B8" s="198" t="s">
        <v>148</v>
      </c>
      <c r="C8" s="199"/>
      <c r="D8" s="199"/>
      <c r="E8" s="199"/>
      <c r="F8" s="12" t="s">
        <v>57</v>
      </c>
      <c r="G8" s="44" t="s">
        <v>138</v>
      </c>
    </row>
    <row r="9" spans="1:11" ht="25.5">
      <c r="A9" s="15" t="s">
        <v>67</v>
      </c>
      <c r="B9" s="208"/>
      <c r="C9" s="209"/>
      <c r="D9" s="209"/>
      <c r="E9" s="210"/>
      <c r="F9" s="12" t="s">
        <v>133</v>
      </c>
      <c r="G9" s="80"/>
    </row>
    <row r="10" spans="1:11">
      <c r="A10" s="4" t="s">
        <v>35</v>
      </c>
      <c r="B10" s="198" t="s">
        <v>149</v>
      </c>
      <c r="C10" s="199"/>
      <c r="D10" s="199"/>
      <c r="E10" s="200"/>
      <c r="F10" s="12" t="s">
        <v>34</v>
      </c>
      <c r="G10" s="43" t="s">
        <v>150</v>
      </c>
    </row>
    <row r="11" spans="1:11">
      <c r="A11" s="4" t="s">
        <v>58</v>
      </c>
      <c r="B11" s="172" t="s">
        <v>151</v>
      </c>
      <c r="C11" s="173"/>
      <c r="D11" s="173"/>
      <c r="E11" s="174"/>
      <c r="F11" s="61" t="s">
        <v>34</v>
      </c>
      <c r="G11" s="60" t="s">
        <v>152</v>
      </c>
    </row>
    <row r="12" spans="1:11">
      <c r="J12" s="79"/>
      <c r="K12" s="79"/>
    </row>
    <row r="13" spans="1:11" s="3" customFormat="1">
      <c r="A13" s="1" t="s">
        <v>3</v>
      </c>
      <c r="B13" s="1"/>
      <c r="C13" s="1"/>
      <c r="D13" s="1" t="s">
        <v>4</v>
      </c>
      <c r="E13" s="1"/>
    </row>
    <row r="14" spans="1:11">
      <c r="A14" s="4" t="s">
        <v>2</v>
      </c>
      <c r="B14" s="180" t="s">
        <v>125</v>
      </c>
      <c r="C14" s="181"/>
      <c r="D14" s="185" t="s">
        <v>7</v>
      </c>
      <c r="E14" s="186"/>
      <c r="F14" s="183" t="s">
        <v>124</v>
      </c>
      <c r="G14" s="184"/>
    </row>
    <row r="15" spans="1:11" s="14" customFormat="1">
      <c r="A15" s="69" t="s">
        <v>24</v>
      </c>
      <c r="B15" s="180"/>
      <c r="C15" s="181"/>
      <c r="D15" s="189" t="s">
        <v>8</v>
      </c>
      <c r="E15" s="190"/>
      <c r="F15" s="183" t="s">
        <v>124</v>
      </c>
      <c r="G15" s="184"/>
    </row>
    <row r="16" spans="1:11">
      <c r="A16" s="4" t="s">
        <v>5</v>
      </c>
      <c r="B16" s="182" t="s">
        <v>135</v>
      </c>
      <c r="C16" s="181"/>
      <c r="D16" s="191" t="s">
        <v>9</v>
      </c>
      <c r="E16" s="192"/>
      <c r="F16" s="183" t="s">
        <v>124</v>
      </c>
      <c r="G16" s="184"/>
    </row>
    <row r="17" spans="1:12" ht="27" customHeight="1">
      <c r="A17" s="4" t="s">
        <v>6</v>
      </c>
      <c r="B17" s="180"/>
      <c r="C17" s="181"/>
      <c r="D17" s="191" t="s">
        <v>10</v>
      </c>
      <c r="E17" s="192"/>
      <c r="F17" s="183" t="s">
        <v>124</v>
      </c>
      <c r="G17" s="184"/>
      <c r="I17" s="92"/>
      <c r="L17" s="79"/>
    </row>
    <row r="19" spans="1:12" ht="29.25" customHeight="1">
      <c r="A19" s="31" t="s">
        <v>72</v>
      </c>
      <c r="B19" s="220"/>
      <c r="C19" s="221"/>
      <c r="D19" s="195" t="s">
        <v>70</v>
      </c>
      <c r="E19" s="196"/>
      <c r="F19" s="196"/>
      <c r="G19" s="194"/>
      <c r="L19" s="79"/>
    </row>
    <row r="20" spans="1:12">
      <c r="A20" s="31" t="s">
        <v>71</v>
      </c>
      <c r="B20" s="277">
        <v>0</v>
      </c>
      <c r="C20" s="278"/>
      <c r="D20" s="222"/>
      <c r="E20" s="223"/>
      <c r="F20" s="62"/>
      <c r="G20" s="47"/>
    </row>
    <row r="21" spans="1:12">
      <c r="A21" s="4" t="s">
        <v>64</v>
      </c>
      <c r="B21" s="195"/>
      <c r="C21" s="194"/>
      <c r="D21" s="2"/>
      <c r="E21" s="4"/>
      <c r="F21" s="63"/>
      <c r="G21" s="32"/>
    </row>
    <row r="22" spans="1:12" s="3" customFormat="1"/>
    <row r="23" spans="1:12">
      <c r="A23" s="6" t="s">
        <v>16</v>
      </c>
      <c r="B23" s="37" t="s">
        <v>65</v>
      </c>
    </row>
    <row r="24" spans="1:12">
      <c r="A24" s="31" t="s">
        <v>13</v>
      </c>
      <c r="B24" s="195" t="s">
        <v>25</v>
      </c>
      <c r="C24" s="224"/>
      <c r="D24" s="193" t="s">
        <v>13</v>
      </c>
      <c r="E24" s="194"/>
      <c r="F24" s="195" t="s">
        <v>25</v>
      </c>
      <c r="G24" s="194"/>
    </row>
    <row r="25" spans="1:12" s="163" customFormat="1" ht="16.5" customHeight="1">
      <c r="A25" s="140" t="s">
        <v>153</v>
      </c>
      <c r="B25" s="170" t="s">
        <v>157</v>
      </c>
      <c r="C25" s="171"/>
      <c r="D25" s="218"/>
      <c r="E25" s="219"/>
      <c r="F25" s="218"/>
      <c r="G25" s="171"/>
    </row>
    <row r="26" spans="1:12" s="163" customFormat="1" ht="30" customHeight="1">
      <c r="A26" s="140" t="s">
        <v>154</v>
      </c>
      <c r="B26" s="170" t="s">
        <v>191</v>
      </c>
      <c r="C26" s="171"/>
      <c r="D26" s="218"/>
      <c r="E26" s="219"/>
      <c r="F26" s="218"/>
      <c r="G26" s="171"/>
    </row>
    <row r="27" spans="1:12" s="163" customFormat="1" ht="12.75" customHeight="1">
      <c r="A27" s="140" t="s">
        <v>134</v>
      </c>
      <c r="B27" s="170" t="s">
        <v>139</v>
      </c>
      <c r="C27" s="171"/>
      <c r="D27" s="164"/>
      <c r="E27" s="165"/>
      <c r="F27" s="218"/>
      <c r="G27" s="171"/>
    </row>
    <row r="28" spans="1:12" s="163" customFormat="1" ht="12.75" customHeight="1">
      <c r="A28" s="153" t="s">
        <v>155</v>
      </c>
      <c r="B28" s="170" t="s">
        <v>157</v>
      </c>
      <c r="C28" s="171"/>
      <c r="D28" s="166"/>
      <c r="E28" s="165"/>
      <c r="F28" s="218"/>
      <c r="G28" s="171"/>
    </row>
    <row r="29" spans="1:12" s="163" customFormat="1" ht="12.75" customHeight="1">
      <c r="A29" s="153" t="s">
        <v>156</v>
      </c>
      <c r="B29" s="170" t="s">
        <v>139</v>
      </c>
      <c r="C29" s="171"/>
    </row>
    <row r="30" spans="1:12" s="163" customFormat="1" ht="12.75" customHeight="1">
      <c r="A30" s="140" t="s">
        <v>136</v>
      </c>
      <c r="B30" s="170" t="s">
        <v>139</v>
      </c>
      <c r="C30" s="171"/>
      <c r="D30" s="166"/>
      <c r="E30" s="165"/>
      <c r="F30" s="218"/>
      <c r="G30" s="171"/>
    </row>
    <row r="31" spans="1:12" ht="12.75" customHeight="1">
      <c r="A31" s="15"/>
      <c r="B31" s="222"/>
      <c r="C31" s="225"/>
      <c r="D31" s="45"/>
      <c r="E31" s="9"/>
      <c r="F31" s="222"/>
      <c r="G31" s="225"/>
    </row>
    <row r="32" spans="1:12" ht="12.75" customHeight="1">
      <c r="A32" s="15"/>
      <c r="B32" s="222"/>
      <c r="C32" s="225"/>
      <c r="D32" s="45"/>
      <c r="E32" s="9"/>
      <c r="F32" s="228"/>
      <c r="G32" s="192"/>
    </row>
    <row r="33" spans="1:7" ht="12.75" customHeight="1">
      <c r="A33" s="64"/>
      <c r="B33" s="64"/>
      <c r="C33" s="64"/>
      <c r="D33" s="11"/>
      <c r="E33" s="11"/>
      <c r="F33" s="11"/>
      <c r="G33" s="11"/>
    </row>
    <row r="34" spans="1:7">
      <c r="A34" s="64"/>
      <c r="B34" s="11"/>
      <c r="C34" s="11"/>
      <c r="D34" s="11"/>
      <c r="E34" s="11"/>
      <c r="F34" s="11"/>
      <c r="G34" s="11"/>
    </row>
    <row r="35" spans="1:7" s="3" customFormat="1">
      <c r="A35" s="5" t="s">
        <v>22</v>
      </c>
      <c r="B35" s="5" t="s">
        <v>23</v>
      </c>
      <c r="C35" s="8"/>
      <c r="D35" s="8"/>
      <c r="E35" s="8"/>
    </row>
    <row r="36" spans="1:7" s="3" customFormat="1">
      <c r="B36" s="5" t="s">
        <v>30</v>
      </c>
      <c r="C36" s="8"/>
      <c r="D36" s="8"/>
      <c r="E36" s="8"/>
    </row>
    <row r="38" spans="1:7">
      <c r="A38" s="6" t="s">
        <v>11</v>
      </c>
      <c r="C38" s="229" t="s">
        <v>69</v>
      </c>
      <c r="D38" s="229"/>
    </row>
    <row r="39" spans="1:7" ht="36">
      <c r="A39" s="81" t="s">
        <v>59</v>
      </c>
      <c r="B39" s="139" t="s">
        <v>12</v>
      </c>
      <c r="C39" s="81" t="s">
        <v>21</v>
      </c>
      <c r="D39" s="81" t="s">
        <v>14</v>
      </c>
      <c r="E39" s="81" t="s">
        <v>15</v>
      </c>
      <c r="F39" s="82" t="s">
        <v>33</v>
      </c>
      <c r="G39" s="81" t="s">
        <v>27</v>
      </c>
    </row>
    <row r="40" spans="1:7" ht="33" customHeight="1">
      <c r="A40" s="136" t="s">
        <v>158</v>
      </c>
      <c r="B40" s="87">
        <v>1</v>
      </c>
      <c r="C40" s="88">
        <v>42998</v>
      </c>
      <c r="D40" s="88">
        <v>43021</v>
      </c>
      <c r="E40" s="87" t="s">
        <v>189</v>
      </c>
      <c r="F40" s="82"/>
      <c r="G40" s="81"/>
    </row>
    <row r="41" spans="1:7" ht="54" customHeight="1">
      <c r="A41" s="136" t="s">
        <v>159</v>
      </c>
      <c r="B41" s="87">
        <v>1</v>
      </c>
      <c r="C41" s="88">
        <v>42998</v>
      </c>
      <c r="D41" s="88">
        <v>43021</v>
      </c>
      <c r="E41" s="87" t="s">
        <v>189</v>
      </c>
      <c r="F41" s="82"/>
      <c r="G41" s="81"/>
    </row>
    <row r="42" spans="1:7" ht="48.75" customHeight="1">
      <c r="A42" s="137" t="s">
        <v>160</v>
      </c>
      <c r="B42" s="87">
        <v>1</v>
      </c>
      <c r="C42" s="88">
        <v>42998</v>
      </c>
      <c r="D42" s="88">
        <v>43021</v>
      </c>
      <c r="E42" s="87" t="s">
        <v>189</v>
      </c>
      <c r="F42" s="82"/>
      <c r="G42" s="81"/>
    </row>
    <row r="43" spans="1:7" ht="31.5" customHeight="1">
      <c r="A43" s="136" t="s">
        <v>161</v>
      </c>
      <c r="B43" s="87">
        <v>0</v>
      </c>
      <c r="C43" s="88">
        <v>42937</v>
      </c>
      <c r="D43" s="88">
        <v>42958</v>
      </c>
      <c r="E43" s="87" t="s">
        <v>189</v>
      </c>
      <c r="F43" s="82"/>
      <c r="G43" s="81"/>
    </row>
    <row r="44" spans="1:7" ht="35.25" customHeight="1">
      <c r="A44" s="136" t="s">
        <v>162</v>
      </c>
      <c r="B44" s="87">
        <v>0</v>
      </c>
      <c r="C44" s="88">
        <v>42937</v>
      </c>
      <c r="D44" s="88">
        <v>42958</v>
      </c>
      <c r="E44" s="87" t="s">
        <v>189</v>
      </c>
      <c r="F44" s="82"/>
      <c r="G44" s="81"/>
    </row>
    <row r="45" spans="1:7" ht="40.5" customHeight="1">
      <c r="A45" s="136" t="s">
        <v>163</v>
      </c>
      <c r="B45" s="87">
        <v>0</v>
      </c>
      <c r="C45" s="88">
        <v>42937</v>
      </c>
      <c r="D45" s="88">
        <v>42958</v>
      </c>
      <c r="E45" s="87" t="s">
        <v>189</v>
      </c>
      <c r="F45" s="82"/>
      <c r="G45" s="81"/>
    </row>
    <row r="46" spans="1:7" ht="45" customHeight="1">
      <c r="A46" s="136" t="s">
        <v>164</v>
      </c>
      <c r="B46" s="87">
        <v>1</v>
      </c>
      <c r="C46" s="88">
        <v>42998</v>
      </c>
      <c r="D46" s="88">
        <v>43021</v>
      </c>
      <c r="E46" s="87" t="s">
        <v>189</v>
      </c>
      <c r="F46" s="82"/>
      <c r="G46" s="81"/>
    </row>
    <row r="47" spans="1:7" ht="51.75" customHeight="1">
      <c r="A47" s="136" t="s">
        <v>165</v>
      </c>
      <c r="B47" s="87">
        <v>0</v>
      </c>
      <c r="C47" s="88">
        <v>42935</v>
      </c>
      <c r="D47" s="88">
        <v>42958</v>
      </c>
      <c r="E47" s="87" t="s">
        <v>189</v>
      </c>
      <c r="F47" s="82"/>
      <c r="G47" s="81"/>
    </row>
    <row r="48" spans="1:7" ht="51.75" customHeight="1">
      <c r="A48" s="136" t="s">
        <v>166</v>
      </c>
      <c r="B48" s="87">
        <v>0</v>
      </c>
      <c r="C48" s="88">
        <v>42935</v>
      </c>
      <c r="D48" s="88">
        <v>42958</v>
      </c>
      <c r="E48" s="87" t="s">
        <v>189</v>
      </c>
      <c r="F48" s="82"/>
      <c r="G48" s="81"/>
    </row>
    <row r="49" spans="1:8" ht="42.75" customHeight="1">
      <c r="A49" s="136" t="s">
        <v>167</v>
      </c>
      <c r="B49" s="87">
        <v>0</v>
      </c>
      <c r="C49" s="88">
        <v>42935</v>
      </c>
      <c r="D49" s="88">
        <v>42958</v>
      </c>
      <c r="E49" s="87" t="s">
        <v>189</v>
      </c>
      <c r="F49" s="82"/>
      <c r="G49" s="81"/>
    </row>
    <row r="50" spans="1:8" ht="36.75" customHeight="1">
      <c r="A50" s="136" t="s">
        <v>168</v>
      </c>
      <c r="B50" s="87">
        <v>0</v>
      </c>
      <c r="C50" s="88">
        <v>42935</v>
      </c>
      <c r="D50" s="88">
        <v>42958</v>
      </c>
      <c r="E50" s="87" t="s">
        <v>189</v>
      </c>
      <c r="F50" s="82"/>
      <c r="G50" s="81"/>
    </row>
    <row r="51" spans="1:8" ht="41.25" customHeight="1">
      <c r="A51" s="137" t="s">
        <v>169</v>
      </c>
      <c r="B51" s="87">
        <v>0</v>
      </c>
      <c r="C51" s="88">
        <v>42935</v>
      </c>
      <c r="D51" s="88">
        <v>42958</v>
      </c>
      <c r="E51" s="87" t="s">
        <v>189</v>
      </c>
      <c r="F51" s="82"/>
      <c r="G51" s="81"/>
    </row>
    <row r="52" spans="1:8" ht="25.5">
      <c r="A52" s="136" t="s">
        <v>170</v>
      </c>
      <c r="B52" s="87">
        <v>1</v>
      </c>
      <c r="C52" s="88">
        <v>42998</v>
      </c>
      <c r="D52" s="88">
        <v>43021</v>
      </c>
      <c r="E52" s="87" t="s">
        <v>189</v>
      </c>
      <c r="F52" s="82"/>
      <c r="G52" s="81"/>
    </row>
    <row r="53" spans="1:8" ht="38.25">
      <c r="A53" s="136" t="s">
        <v>171</v>
      </c>
      <c r="B53" s="87">
        <v>0</v>
      </c>
      <c r="C53" s="88">
        <v>42935</v>
      </c>
      <c r="D53" s="88">
        <v>42958</v>
      </c>
      <c r="E53" s="87" t="s">
        <v>189</v>
      </c>
      <c r="F53" s="82"/>
      <c r="G53" s="81"/>
    </row>
    <row r="54" spans="1:8" ht="25.5">
      <c r="A54" s="136" t="s">
        <v>172</v>
      </c>
      <c r="B54" s="87">
        <v>1</v>
      </c>
      <c r="C54" s="88">
        <v>42998</v>
      </c>
      <c r="D54" s="88">
        <v>43021</v>
      </c>
      <c r="E54" s="87" t="s">
        <v>189</v>
      </c>
      <c r="F54" s="82"/>
      <c r="G54" s="81"/>
    </row>
    <row r="55" spans="1:8" ht="30.75" customHeight="1">
      <c r="A55" s="136" t="s">
        <v>173</v>
      </c>
      <c r="B55" s="87">
        <v>0</v>
      </c>
      <c r="C55" s="88">
        <v>42935</v>
      </c>
      <c r="D55" s="88">
        <v>42958</v>
      </c>
      <c r="E55" s="87" t="s">
        <v>189</v>
      </c>
      <c r="F55" s="82"/>
      <c r="G55" s="81"/>
    </row>
    <row r="56" spans="1:8" ht="25.5">
      <c r="A56" s="136" t="s">
        <v>174</v>
      </c>
      <c r="B56" s="87">
        <v>0</v>
      </c>
      <c r="C56" s="88">
        <v>42935</v>
      </c>
      <c r="D56" s="88">
        <v>42958</v>
      </c>
      <c r="E56" s="87" t="s">
        <v>189</v>
      </c>
      <c r="F56" s="82"/>
      <c r="G56" s="81"/>
    </row>
    <row r="57" spans="1:8" ht="26.25" customHeight="1">
      <c r="A57" s="136" t="s">
        <v>175</v>
      </c>
      <c r="B57" s="87">
        <v>0</v>
      </c>
      <c r="C57" s="88">
        <v>42935</v>
      </c>
      <c r="D57" s="88">
        <v>42958</v>
      </c>
      <c r="E57" s="87" t="s">
        <v>189</v>
      </c>
      <c r="F57" s="82"/>
      <c r="G57" s="81"/>
    </row>
    <row r="58" spans="1:8">
      <c r="A58" s="136"/>
      <c r="B58" s="87"/>
      <c r="C58" s="88"/>
      <c r="D58" s="88"/>
      <c r="E58" s="87"/>
      <c r="F58" s="82"/>
      <c r="G58" s="81"/>
    </row>
    <row r="59" spans="1:8">
      <c r="A59" s="90"/>
      <c r="B59" s="91"/>
      <c r="C59" s="138"/>
      <c r="D59" s="89"/>
      <c r="E59" s="91"/>
      <c r="F59" s="84"/>
      <c r="G59" s="85"/>
    </row>
    <row r="60" spans="1:8" s="6" customFormat="1" ht="48" customHeight="1">
      <c r="A60" s="31" t="s">
        <v>13</v>
      </c>
      <c r="B60" s="31" t="s">
        <v>17</v>
      </c>
      <c r="C60" s="31" t="s">
        <v>18</v>
      </c>
      <c r="D60" s="31" t="s">
        <v>73</v>
      </c>
      <c r="E60" s="135" t="s">
        <v>19</v>
      </c>
      <c r="F60" s="31" t="s">
        <v>20</v>
      </c>
      <c r="G60" s="69" t="s">
        <v>62</v>
      </c>
      <c r="H60" s="135"/>
    </row>
    <row r="61" spans="1:8" s="83" customFormat="1" ht="24.75" customHeight="1">
      <c r="A61" s="140" t="s">
        <v>153</v>
      </c>
      <c r="B61" s="149" t="s">
        <v>176</v>
      </c>
      <c r="C61" s="141" t="s">
        <v>157</v>
      </c>
      <c r="D61" s="142">
        <v>771718401077</v>
      </c>
      <c r="E61" s="143" t="s">
        <v>190</v>
      </c>
      <c r="F61" s="144" t="s">
        <v>188</v>
      </c>
      <c r="G61" s="145" t="s">
        <v>140</v>
      </c>
    </row>
    <row r="62" spans="1:8" s="83" customFormat="1" ht="25.5">
      <c r="A62" s="140" t="s">
        <v>154</v>
      </c>
      <c r="B62" s="149" t="s">
        <v>192</v>
      </c>
      <c r="C62" s="146" t="s">
        <v>193</v>
      </c>
      <c r="D62" s="147">
        <v>771718401928</v>
      </c>
      <c r="E62" s="142" t="s">
        <v>194</v>
      </c>
      <c r="F62" s="148" t="s">
        <v>195</v>
      </c>
      <c r="G62" s="145" t="s">
        <v>140</v>
      </c>
    </row>
    <row r="63" spans="1:8" s="83" customFormat="1">
      <c r="A63" s="140" t="s">
        <v>134</v>
      </c>
      <c r="B63" s="149" t="s">
        <v>139</v>
      </c>
      <c r="C63" s="149"/>
      <c r="D63" s="150"/>
      <c r="E63" s="151"/>
      <c r="F63" s="94"/>
      <c r="G63" s="152"/>
    </row>
    <row r="64" spans="1:8" s="83" customFormat="1" ht="38.25">
      <c r="A64" s="153" t="s">
        <v>155</v>
      </c>
      <c r="B64" s="149" t="s">
        <v>197</v>
      </c>
      <c r="C64" s="149" t="s">
        <v>157</v>
      </c>
      <c r="D64" s="154">
        <v>771718401636</v>
      </c>
      <c r="E64" s="155" t="s">
        <v>198</v>
      </c>
      <c r="F64" s="167" t="s">
        <v>199</v>
      </c>
      <c r="G64" s="145" t="s">
        <v>196</v>
      </c>
    </row>
    <row r="65" spans="1:7" s="83" customFormat="1">
      <c r="A65" s="153" t="s">
        <v>156</v>
      </c>
      <c r="B65" s="149" t="s">
        <v>139</v>
      </c>
      <c r="C65" s="156"/>
      <c r="D65" s="157"/>
      <c r="E65" s="158"/>
      <c r="F65" s="148"/>
      <c r="G65" s="145"/>
    </row>
    <row r="66" spans="1:7" s="83" customFormat="1">
      <c r="A66" s="140" t="s">
        <v>136</v>
      </c>
      <c r="B66" s="170" t="s">
        <v>139</v>
      </c>
      <c r="C66" s="230"/>
      <c r="D66" s="159"/>
      <c r="E66" s="160"/>
      <c r="F66" s="161"/>
      <c r="G66" s="162"/>
    </row>
    <row r="67" spans="1:7" s="72" customFormat="1" ht="23.25" customHeight="1">
      <c r="A67" s="95"/>
      <c r="B67" s="96"/>
      <c r="C67" s="96"/>
      <c r="D67" s="97"/>
      <c r="E67" s="71"/>
      <c r="F67" s="78"/>
      <c r="G67" s="133"/>
    </row>
    <row r="68" spans="1:7" s="72" customFormat="1">
      <c r="A68" s="15"/>
      <c r="B68" s="70"/>
      <c r="C68" s="65"/>
      <c r="D68" s="86"/>
      <c r="E68" s="71"/>
      <c r="F68" s="78"/>
      <c r="G68" s="78"/>
    </row>
    <row r="69" spans="1:7" s="72" customFormat="1">
      <c r="A69" s="15"/>
      <c r="B69" s="70"/>
      <c r="C69" s="65"/>
      <c r="D69" s="86"/>
      <c r="E69" s="71"/>
      <c r="F69" s="71"/>
      <c r="G69" s="65"/>
    </row>
    <row r="70" spans="1:7" s="72" customFormat="1">
      <c r="A70" s="98"/>
      <c r="B70" s="99"/>
      <c r="C70" s="66"/>
      <c r="D70" s="100"/>
      <c r="E70" s="101"/>
      <c r="F70" s="101"/>
      <c r="G70" s="66"/>
    </row>
    <row r="71" spans="1:7" s="72" customFormat="1">
      <c r="A71" s="98"/>
      <c r="B71" s="99"/>
      <c r="C71" s="66"/>
      <c r="D71" s="100"/>
      <c r="E71" s="101"/>
      <c r="F71" s="101"/>
      <c r="G71" s="66"/>
    </row>
    <row r="72" spans="1:7" s="98" customFormat="1" ht="16.5" customHeight="1">
      <c r="A72" s="102"/>
      <c r="D72" s="67"/>
      <c r="E72" s="68"/>
      <c r="F72" s="68"/>
      <c r="G72" s="66"/>
    </row>
    <row r="73" spans="1:7">
      <c r="A73" s="37" t="s">
        <v>74</v>
      </c>
    </row>
    <row r="74" spans="1:7">
      <c r="A74" s="16"/>
    </row>
    <row r="75" spans="1:7">
      <c r="A75" s="227" t="s">
        <v>76</v>
      </c>
      <c r="B75" s="227"/>
      <c r="C75" s="227"/>
      <c r="D75" s="227"/>
      <c r="E75" s="227"/>
    </row>
    <row r="77" spans="1:7">
      <c r="A77" s="226" t="s">
        <v>77</v>
      </c>
      <c r="B77" s="226"/>
      <c r="C77" s="226"/>
      <c r="G77" s="38"/>
    </row>
  </sheetData>
  <mergeCells count="54">
    <mergeCell ref="B31:C31"/>
    <mergeCell ref="F31:G31"/>
    <mergeCell ref="A77:C77"/>
    <mergeCell ref="A75:E75"/>
    <mergeCell ref="F32:G32"/>
    <mergeCell ref="C38:D38"/>
    <mergeCell ref="B32:C32"/>
    <mergeCell ref="B66:C66"/>
    <mergeCell ref="F30:G30"/>
    <mergeCell ref="B27:C27"/>
    <mergeCell ref="D17:E17"/>
    <mergeCell ref="D25:E25"/>
    <mergeCell ref="B19:C19"/>
    <mergeCell ref="F27:G27"/>
    <mergeCell ref="D20:E20"/>
    <mergeCell ref="B26:C26"/>
    <mergeCell ref="F28:G28"/>
    <mergeCell ref="B30:C30"/>
    <mergeCell ref="F26:G26"/>
    <mergeCell ref="D26:E26"/>
    <mergeCell ref="B21:C21"/>
    <mergeCell ref="B25:C25"/>
    <mergeCell ref="B24:C24"/>
    <mergeCell ref="F25:G25"/>
    <mergeCell ref="A1:B1"/>
    <mergeCell ref="B8:E8"/>
    <mergeCell ref="B10:E10"/>
    <mergeCell ref="B6:G6"/>
    <mergeCell ref="A2:D3"/>
    <mergeCell ref="B9:E9"/>
    <mergeCell ref="F2:G2"/>
    <mergeCell ref="F3:G3"/>
    <mergeCell ref="D4:F4"/>
    <mergeCell ref="D19:G19"/>
    <mergeCell ref="B17:C17"/>
    <mergeCell ref="F17:G17"/>
    <mergeCell ref="B20:C20"/>
    <mergeCell ref="F24:G24"/>
    <mergeCell ref="B28:C28"/>
    <mergeCell ref="B29:C29"/>
    <mergeCell ref="B11:E11"/>
    <mergeCell ref="B5:C5"/>
    <mergeCell ref="C7:F7"/>
    <mergeCell ref="B14:C14"/>
    <mergeCell ref="B16:C16"/>
    <mergeCell ref="F16:G16"/>
    <mergeCell ref="D14:E14"/>
    <mergeCell ref="F14:G14"/>
    <mergeCell ref="F15:G15"/>
    <mergeCell ref="E5:F5"/>
    <mergeCell ref="B15:C15"/>
    <mergeCell ref="D15:E15"/>
    <mergeCell ref="D16:E16"/>
    <mergeCell ref="D24:E24"/>
  </mergeCells>
  <phoneticPr fontId="0" type="noConversion"/>
  <pageMargins left="0.75" right="0.3" top="0.40625" bottom="0.41666666666666702" header="0" footer="0.2"/>
  <pageSetup paperSize="9" orientation="landscape" r:id="rId1"/>
  <headerFooter alignWithMargins="0">
    <oddFooter>&amp;L&amp;7&amp;F&amp;CPage &amp;P of &amp;N&amp;R&amp;5[Format Rev. 1.1.7-RPOC]&amp;6  &amp;8&amp;D -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D26"/>
  <sheetViews>
    <sheetView showGridLines="0" showZeros="0" workbookViewId="0">
      <selection activeCell="R31" sqref="R31"/>
    </sheetView>
  </sheetViews>
  <sheetFormatPr defaultRowHeight="11.25"/>
  <cols>
    <col min="1" max="1" width="4" style="17" customWidth="1"/>
    <col min="2" max="2" width="4.140625" style="18" customWidth="1"/>
    <col min="3" max="3" width="4" style="18" customWidth="1"/>
    <col min="4" max="4" width="4.28515625" style="18" customWidth="1"/>
    <col min="5" max="5" width="9.85546875" style="36" customWidth="1"/>
    <col min="6" max="6" width="10.28515625" style="36" customWidth="1"/>
    <col min="7" max="7" width="3.85546875" style="18" customWidth="1"/>
    <col min="8" max="8" width="5.42578125" style="18" customWidth="1"/>
    <col min="9" max="9" width="3.7109375" style="18" customWidth="1"/>
    <col min="10" max="10" width="2.7109375" style="18" customWidth="1"/>
    <col min="11" max="11" width="2.42578125" style="18" customWidth="1"/>
    <col min="12" max="12" width="3.140625" style="18" customWidth="1"/>
    <col min="13" max="13" width="5.42578125" style="18" customWidth="1"/>
    <col min="14" max="14" width="10.140625" style="18" customWidth="1"/>
    <col min="15" max="15" width="6.28515625" style="18" customWidth="1"/>
    <col min="16" max="16" width="6" style="18" customWidth="1"/>
    <col min="17" max="17" width="8" style="18" bestFit="1" customWidth="1"/>
    <col min="18" max="18" width="8" style="18" customWidth="1"/>
    <col min="19" max="19" width="7.5703125" style="18" customWidth="1"/>
    <col min="20" max="20" width="8.5703125" style="18" customWidth="1"/>
    <col min="21" max="21" width="8.85546875" style="18" customWidth="1"/>
    <col min="22" max="22" width="24.28515625" style="18" customWidth="1"/>
    <col min="23" max="23" width="12.42578125" style="18" customWidth="1"/>
    <col min="24" max="16384" width="9.140625" style="18"/>
  </cols>
  <sheetData>
    <row r="1" spans="1:23" ht="12.75" customHeight="1">
      <c r="A1" s="17" t="s">
        <v>55</v>
      </c>
      <c r="C1" s="250" t="str">
        <f>'4173  General'!B5</f>
        <v>TITANIUM EQUIPMENT AND ANODE MFG CO LTD</v>
      </c>
      <c r="D1" s="250"/>
      <c r="E1" s="250"/>
      <c r="F1" s="250"/>
      <c r="G1" s="250"/>
      <c r="I1" s="19" t="s">
        <v>53</v>
      </c>
      <c r="J1" s="243">
        <f>'4173  General'!B6</f>
        <v>0</v>
      </c>
      <c r="K1" s="244"/>
      <c r="L1" s="244"/>
      <c r="M1" s="244"/>
      <c r="N1" s="244"/>
      <c r="O1" s="244"/>
      <c r="P1" s="244"/>
      <c r="Q1" s="244"/>
      <c r="R1" s="245"/>
      <c r="U1" s="242" t="s">
        <v>37</v>
      </c>
      <c r="V1" s="242"/>
      <c r="W1" s="41">
        <f>'4173  General'!F1</f>
        <v>43048</v>
      </c>
    </row>
    <row r="2" spans="1:23" ht="12.75" customHeight="1">
      <c r="A2" s="17" t="s">
        <v>38</v>
      </c>
      <c r="C2" s="250" t="str">
        <f>'4173  General'!B8</f>
        <v xml:space="preserve">HEAT EXCHANGER - SS </v>
      </c>
      <c r="D2" s="250"/>
      <c r="E2" s="250"/>
      <c r="F2" s="250"/>
      <c r="G2" s="250"/>
      <c r="I2" s="19" t="s">
        <v>54</v>
      </c>
      <c r="J2" s="243" t="str">
        <f>'4173  General'!B10</f>
        <v xml:space="preserve">A885/6136/520/PO-173 </v>
      </c>
      <c r="K2" s="244"/>
      <c r="L2" s="244"/>
      <c r="M2" s="244"/>
      <c r="N2" s="244"/>
      <c r="O2" s="244"/>
      <c r="P2" s="244"/>
      <c r="Q2" s="244"/>
      <c r="R2" s="245"/>
      <c r="S2" s="56"/>
      <c r="T2" s="238" t="str">
        <f>'4173  General'!F2</f>
        <v>Vendor's
Internal
Work Order Ref.</v>
      </c>
      <c r="U2" s="239"/>
      <c r="V2" s="239"/>
      <c r="W2" s="39" t="str">
        <f>'4173  General'!F3</f>
        <v>J 4173</v>
      </c>
    </row>
    <row r="3" spans="1:23" customFormat="1" ht="5.25" customHeight="1">
      <c r="E3" s="34"/>
      <c r="F3" s="34"/>
    </row>
    <row r="4" spans="1:23" ht="67.5">
      <c r="A4" s="20" t="s">
        <v>39</v>
      </c>
      <c r="B4" s="21" t="s">
        <v>40</v>
      </c>
      <c r="C4" s="21" t="s">
        <v>41</v>
      </c>
      <c r="D4" s="21" t="s">
        <v>42</v>
      </c>
      <c r="E4" s="21" t="s">
        <v>110</v>
      </c>
      <c r="F4" s="21" t="s">
        <v>43</v>
      </c>
      <c r="G4" s="21" t="s">
        <v>44</v>
      </c>
      <c r="H4" s="21" t="s">
        <v>45</v>
      </c>
      <c r="I4" s="21" t="s">
        <v>109</v>
      </c>
      <c r="J4" s="55" t="s">
        <v>46</v>
      </c>
      <c r="K4" s="55" t="s">
        <v>47</v>
      </c>
      <c r="L4" s="55" t="s">
        <v>48</v>
      </c>
      <c r="M4" s="21" t="s">
        <v>49</v>
      </c>
      <c r="N4" s="21" t="s">
        <v>50</v>
      </c>
      <c r="O4" s="21" t="s">
        <v>51</v>
      </c>
      <c r="P4" s="21" t="s">
        <v>52</v>
      </c>
      <c r="Q4" s="22" t="s">
        <v>56</v>
      </c>
      <c r="R4" s="22" t="s">
        <v>104</v>
      </c>
      <c r="S4" s="21" t="s">
        <v>98</v>
      </c>
      <c r="T4" s="22" t="s">
        <v>105</v>
      </c>
      <c r="U4" s="21" t="s">
        <v>106</v>
      </c>
      <c r="V4" s="21" t="s">
        <v>107</v>
      </c>
      <c r="W4" s="21" t="s">
        <v>108</v>
      </c>
    </row>
    <row r="5" spans="1:23" ht="20.100000000000001" customHeight="1">
      <c r="A5" s="49" t="s">
        <v>114</v>
      </c>
      <c r="B5" s="49" t="s">
        <v>115</v>
      </c>
      <c r="C5" s="49"/>
      <c r="D5" s="49" t="s">
        <v>113</v>
      </c>
      <c r="E5" s="49"/>
      <c r="F5" s="53"/>
      <c r="G5" s="53"/>
      <c r="H5" s="49"/>
      <c r="I5" s="49"/>
      <c r="J5" s="49"/>
      <c r="K5" s="49"/>
      <c r="L5" s="49"/>
      <c r="M5" s="25"/>
      <c r="N5" s="26">
        <v>0</v>
      </c>
      <c r="O5" s="23">
        <f t="shared" ref="O5:O10" si="0">M5-N5</f>
        <v>0</v>
      </c>
      <c r="P5" s="24"/>
      <c r="Q5" s="23"/>
      <c r="R5" s="23"/>
      <c r="S5" s="24"/>
      <c r="T5" s="27"/>
      <c r="U5" s="48"/>
      <c r="V5" s="27"/>
      <c r="W5" s="49"/>
    </row>
    <row r="6" spans="1:23" ht="20.100000000000001" customHeight="1">
      <c r="A6" s="49"/>
      <c r="B6" s="49"/>
      <c r="C6" s="49"/>
      <c r="D6" s="49"/>
      <c r="E6" s="49"/>
      <c r="F6" s="53"/>
      <c r="G6" s="53"/>
      <c r="H6" s="49"/>
      <c r="I6" s="49"/>
      <c r="J6" s="49"/>
      <c r="K6" s="49"/>
      <c r="L6" s="49"/>
      <c r="M6" s="25"/>
      <c r="N6" s="26"/>
      <c r="O6" s="23">
        <f t="shared" si="0"/>
        <v>0</v>
      </c>
      <c r="P6" s="24"/>
      <c r="Q6" s="23"/>
      <c r="R6" s="23"/>
      <c r="S6" s="24"/>
      <c r="T6" s="27"/>
      <c r="U6" s="48"/>
      <c r="V6" s="27"/>
      <c r="W6" s="49"/>
    </row>
    <row r="7" spans="1:23" ht="20.100000000000001" customHeight="1">
      <c r="A7" s="49"/>
      <c r="B7" s="49"/>
      <c r="C7" s="49"/>
      <c r="D7" s="49"/>
      <c r="E7" s="49"/>
      <c r="F7" s="53"/>
      <c r="G7" s="53"/>
      <c r="H7" s="49"/>
      <c r="I7" s="49"/>
      <c r="J7" s="49"/>
      <c r="K7" s="49"/>
      <c r="L7" s="49"/>
      <c r="M7" s="25"/>
      <c r="N7" s="26"/>
      <c r="O7" s="23">
        <f t="shared" si="0"/>
        <v>0</v>
      </c>
      <c r="P7" s="24"/>
      <c r="Q7" s="23"/>
      <c r="R7" s="23"/>
      <c r="S7" s="24"/>
      <c r="T7" s="27"/>
      <c r="U7" s="48"/>
      <c r="V7" s="27"/>
      <c r="W7" s="49"/>
    </row>
    <row r="8" spans="1:23" ht="20.100000000000001" customHeight="1">
      <c r="A8" s="49"/>
      <c r="B8" s="49"/>
      <c r="C8" s="49"/>
      <c r="D8" s="49"/>
      <c r="E8" s="49"/>
      <c r="F8" s="53"/>
      <c r="G8" s="53"/>
      <c r="H8" s="49"/>
      <c r="I8" s="49"/>
      <c r="J8" s="49"/>
      <c r="K8" s="49"/>
      <c r="L8" s="49"/>
      <c r="M8" s="25"/>
      <c r="N8" s="26"/>
      <c r="O8" s="23"/>
      <c r="P8" s="24"/>
      <c r="Q8" s="23"/>
      <c r="R8" s="23"/>
      <c r="S8" s="24"/>
      <c r="T8" s="27"/>
      <c r="U8" s="48"/>
      <c r="V8" s="27"/>
      <c r="W8" s="49"/>
    </row>
    <row r="9" spans="1:23" ht="20.100000000000001" customHeight="1">
      <c r="A9" s="49"/>
      <c r="B9" s="49"/>
      <c r="C9" s="49"/>
      <c r="D9" s="49"/>
      <c r="E9" s="49"/>
      <c r="F9" s="53"/>
      <c r="G9" s="53"/>
      <c r="H9" s="49"/>
      <c r="I9" s="49"/>
      <c r="J9" s="49"/>
      <c r="K9" s="49"/>
      <c r="L9" s="49"/>
      <c r="M9" s="25"/>
      <c r="N9" s="26"/>
      <c r="O9" s="23"/>
      <c r="P9" s="24"/>
      <c r="Q9" s="23"/>
      <c r="R9" s="23"/>
      <c r="S9" s="24"/>
      <c r="T9" s="27"/>
      <c r="U9" s="48"/>
      <c r="V9" s="27"/>
      <c r="W9" s="49"/>
    </row>
    <row r="10" spans="1:23" ht="20.100000000000001" customHeight="1">
      <c r="A10" s="49"/>
      <c r="B10" s="49"/>
      <c r="C10" s="49"/>
      <c r="D10" s="49"/>
      <c r="E10" s="49"/>
      <c r="F10" s="53"/>
      <c r="G10" s="53"/>
      <c r="H10" s="49"/>
      <c r="I10" s="49"/>
      <c r="J10" s="49"/>
      <c r="K10" s="49"/>
      <c r="L10" s="49"/>
      <c r="M10" s="25"/>
      <c r="N10" s="26"/>
      <c r="O10" s="23">
        <f t="shared" si="0"/>
        <v>0</v>
      </c>
      <c r="P10" s="24"/>
      <c r="Q10" s="23"/>
      <c r="R10" s="23"/>
      <c r="S10" s="24"/>
      <c r="T10" s="27"/>
      <c r="U10" s="48"/>
      <c r="V10" s="27"/>
      <c r="W10" s="49"/>
    </row>
    <row r="11" spans="1:23" customFormat="1" ht="2.25" customHeight="1"/>
    <row r="12" spans="1:23" ht="12.75">
      <c r="A12" s="54" t="s">
        <v>99</v>
      </c>
      <c r="B12" s="35"/>
      <c r="C12" s="35"/>
      <c r="D12" s="35"/>
      <c r="E12" s="35"/>
      <c r="F12" s="35"/>
      <c r="G12" s="35"/>
      <c r="H12" s="35"/>
      <c r="I12" s="35"/>
      <c r="J12" s="240" t="s">
        <v>36</v>
      </c>
      <c r="K12" s="241"/>
      <c r="L12" s="241"/>
      <c r="M12" s="28">
        <f>SUM(M5:M10)</f>
        <v>0</v>
      </c>
      <c r="N12" s="26">
        <f>SUM(N5:N10)</f>
        <v>0</v>
      </c>
      <c r="O12" s="25">
        <f>SUM(O5:O10)</f>
        <v>0</v>
      </c>
      <c r="P12" s="35"/>
      <c r="Q12" s="29">
        <f>SUM(Q5:Q10)</f>
        <v>0</v>
      </c>
      <c r="R12"/>
      <c r="S12" s="29">
        <f>SUM(S5:S10)</f>
        <v>0</v>
      </c>
      <c r="T12" s="35"/>
      <c r="U12" s="35"/>
      <c r="V12" s="35"/>
      <c r="W12" s="35"/>
    </row>
    <row r="13" spans="1:23">
      <c r="A13" s="18" t="s">
        <v>100</v>
      </c>
    </row>
    <row r="14" spans="1:23">
      <c r="A14" s="18"/>
    </row>
    <row r="15" spans="1:23">
      <c r="A15" s="17" t="s">
        <v>101</v>
      </c>
    </row>
    <row r="16" spans="1:23">
      <c r="A16" s="52" t="s">
        <v>102</v>
      </c>
      <c r="E16" s="18"/>
      <c r="F16" s="18"/>
      <c r="Q16" s="52" t="s">
        <v>103</v>
      </c>
    </row>
    <row r="17" spans="1:30" ht="21.95" customHeight="1">
      <c r="A17" s="251" t="s">
        <v>78</v>
      </c>
      <c r="B17" s="251"/>
      <c r="C17" s="251"/>
      <c r="D17" s="251"/>
      <c r="E17" s="251"/>
      <c r="F17" s="237" t="s">
        <v>86</v>
      </c>
      <c r="G17" s="237"/>
      <c r="H17" s="237" t="s">
        <v>87</v>
      </c>
      <c r="I17" s="237"/>
      <c r="J17" s="237"/>
      <c r="K17" s="237"/>
      <c r="L17" s="237" t="s">
        <v>88</v>
      </c>
      <c r="M17" s="237"/>
      <c r="N17" s="237"/>
      <c r="O17" s="57" t="s">
        <v>97</v>
      </c>
      <c r="Q17" s="251" t="s">
        <v>78</v>
      </c>
      <c r="R17" s="251"/>
      <c r="S17" s="251"/>
      <c r="T17" s="59" t="s">
        <v>86</v>
      </c>
      <c r="U17" s="59" t="s">
        <v>87</v>
      </c>
      <c r="V17" s="59" t="s">
        <v>88</v>
      </c>
      <c r="W17" s="59" t="s">
        <v>97</v>
      </c>
      <c r="X17"/>
      <c r="Y17"/>
      <c r="Z17"/>
      <c r="AA17"/>
      <c r="AB17"/>
      <c r="AC17"/>
      <c r="AD17"/>
    </row>
    <row r="18" spans="1:30" ht="21.95" customHeight="1">
      <c r="A18" s="58">
        <v>1</v>
      </c>
      <c r="B18" s="231" t="s">
        <v>79</v>
      </c>
      <c r="C18" s="231"/>
      <c r="D18" s="231"/>
      <c r="E18" s="231"/>
      <c r="F18" s="232">
        <v>42605</v>
      </c>
      <c r="G18" s="232"/>
      <c r="H18" s="234">
        <v>42605</v>
      </c>
      <c r="I18" s="235"/>
      <c r="J18" s="235"/>
      <c r="K18" s="236"/>
      <c r="L18" s="246" t="s">
        <v>116</v>
      </c>
      <c r="M18" s="246"/>
      <c r="N18" s="246"/>
      <c r="O18" s="57"/>
      <c r="Q18" s="58">
        <v>1</v>
      </c>
      <c r="R18" s="237" t="s">
        <v>89</v>
      </c>
      <c r="S18" s="237"/>
      <c r="T18" s="75" t="s">
        <v>118</v>
      </c>
      <c r="U18" s="75" t="s">
        <v>119</v>
      </c>
      <c r="V18" s="75" t="s">
        <v>119</v>
      </c>
      <c r="W18" s="57"/>
      <c r="X18"/>
      <c r="Y18"/>
      <c r="Z18"/>
      <c r="AA18"/>
      <c r="AB18"/>
      <c r="AC18"/>
      <c r="AD18"/>
    </row>
    <row r="19" spans="1:30" ht="27.75" customHeight="1">
      <c r="A19" s="58">
        <f t="shared" ref="A19:A24" si="1">A18+1</f>
        <v>2</v>
      </c>
      <c r="B19" s="231" t="s">
        <v>80</v>
      </c>
      <c r="C19" s="231"/>
      <c r="D19" s="231"/>
      <c r="E19" s="231"/>
      <c r="F19" s="232">
        <f>F18+30</f>
        <v>42635</v>
      </c>
      <c r="G19" s="232"/>
      <c r="H19" s="234">
        <f>H18+30</f>
        <v>42635</v>
      </c>
      <c r="I19" s="235"/>
      <c r="J19" s="235"/>
      <c r="K19" s="236"/>
      <c r="L19" s="247" t="s">
        <v>117</v>
      </c>
      <c r="M19" s="248"/>
      <c r="N19" s="249"/>
      <c r="O19" s="57"/>
      <c r="Q19" s="58">
        <f t="shared" ref="Q19:Q26" si="2">Q18+1</f>
        <v>2</v>
      </c>
      <c r="R19" s="237" t="s">
        <v>90</v>
      </c>
      <c r="S19" s="237"/>
      <c r="T19" s="75" t="s">
        <v>120</v>
      </c>
      <c r="U19" s="75" t="s">
        <v>121</v>
      </c>
      <c r="V19" s="76" t="s">
        <v>122</v>
      </c>
      <c r="W19" s="57"/>
      <c r="X19"/>
      <c r="Y19"/>
      <c r="Z19"/>
      <c r="AA19"/>
      <c r="AB19"/>
      <c r="AC19"/>
      <c r="AD19"/>
    </row>
    <row r="20" spans="1:30" ht="21.95" customHeight="1">
      <c r="A20" s="58">
        <f t="shared" si="1"/>
        <v>3</v>
      </c>
      <c r="B20" s="231" t="s">
        <v>81</v>
      </c>
      <c r="C20" s="231"/>
      <c r="D20" s="231"/>
      <c r="E20" s="231"/>
      <c r="F20" s="232">
        <v>42658</v>
      </c>
      <c r="G20" s="232"/>
      <c r="H20" s="234">
        <v>42658</v>
      </c>
      <c r="I20" s="235"/>
      <c r="J20" s="235"/>
      <c r="K20" s="236"/>
      <c r="L20" s="247" t="s">
        <v>123</v>
      </c>
      <c r="M20" s="248"/>
      <c r="N20" s="249"/>
      <c r="O20" s="57"/>
      <c r="Q20" s="58">
        <f t="shared" si="2"/>
        <v>3</v>
      </c>
      <c r="R20" s="237" t="s">
        <v>91</v>
      </c>
      <c r="S20" s="237"/>
      <c r="T20" s="75" t="s">
        <v>123</v>
      </c>
      <c r="U20" s="75" t="s">
        <v>123</v>
      </c>
      <c r="V20" s="75" t="s">
        <v>123</v>
      </c>
      <c r="W20" s="57"/>
      <c r="X20"/>
      <c r="Y20"/>
      <c r="Z20"/>
      <c r="AA20"/>
      <c r="AB20"/>
      <c r="AC20"/>
      <c r="AD20"/>
    </row>
    <row r="21" spans="1:30" ht="21.95" customHeight="1">
      <c r="A21" s="58">
        <f t="shared" si="1"/>
        <v>4</v>
      </c>
      <c r="B21" s="231" t="s">
        <v>82</v>
      </c>
      <c r="C21" s="231"/>
      <c r="D21" s="231"/>
      <c r="E21" s="231"/>
      <c r="F21" s="232">
        <v>42735</v>
      </c>
      <c r="G21" s="232"/>
      <c r="H21" s="234">
        <v>42735</v>
      </c>
      <c r="I21" s="235"/>
      <c r="J21" s="235"/>
      <c r="K21" s="236"/>
      <c r="L21" s="233"/>
      <c r="M21" s="233"/>
      <c r="N21" s="233"/>
      <c r="O21" s="57"/>
      <c r="Q21" s="58">
        <f t="shared" si="2"/>
        <v>4</v>
      </c>
      <c r="R21" s="237" t="s">
        <v>92</v>
      </c>
      <c r="S21" s="237"/>
      <c r="T21" s="75" t="s">
        <v>126</v>
      </c>
      <c r="U21" s="75" t="s">
        <v>130</v>
      </c>
      <c r="V21" s="73"/>
      <c r="W21" s="57"/>
      <c r="X21"/>
      <c r="Y21"/>
      <c r="Z21"/>
      <c r="AA21"/>
      <c r="AB21"/>
      <c r="AC21"/>
      <c r="AD21"/>
    </row>
    <row r="22" spans="1:30" ht="26.25" customHeight="1">
      <c r="A22" s="58">
        <f t="shared" si="1"/>
        <v>5</v>
      </c>
      <c r="B22" s="231" t="s">
        <v>83</v>
      </c>
      <c r="C22" s="231"/>
      <c r="D22" s="231"/>
      <c r="E22" s="231"/>
      <c r="F22" s="232">
        <v>42824</v>
      </c>
      <c r="G22" s="232"/>
      <c r="H22" s="234">
        <v>42824</v>
      </c>
      <c r="I22" s="235"/>
      <c r="J22" s="235"/>
      <c r="K22" s="236"/>
      <c r="L22" s="233"/>
      <c r="M22" s="233"/>
      <c r="N22" s="233"/>
      <c r="O22" s="57"/>
      <c r="Q22" s="58">
        <f t="shared" si="2"/>
        <v>5</v>
      </c>
      <c r="R22" s="237" t="s">
        <v>93</v>
      </c>
      <c r="S22" s="237"/>
      <c r="T22" s="77">
        <v>42720</v>
      </c>
      <c r="U22" s="77">
        <v>42765</v>
      </c>
      <c r="V22" s="74"/>
      <c r="W22" s="57"/>
      <c r="X22"/>
      <c r="Y22"/>
      <c r="Z22"/>
      <c r="AA22"/>
      <c r="AB22"/>
      <c r="AC22"/>
      <c r="AD22"/>
    </row>
    <row r="23" spans="1:30" ht="31.5" customHeight="1">
      <c r="A23" s="58">
        <f t="shared" si="1"/>
        <v>6</v>
      </c>
      <c r="B23" s="231" t="s">
        <v>85</v>
      </c>
      <c r="C23" s="231"/>
      <c r="D23" s="231"/>
      <c r="E23" s="231"/>
      <c r="F23" s="232">
        <v>42840</v>
      </c>
      <c r="G23" s="232"/>
      <c r="H23" s="234">
        <v>42840</v>
      </c>
      <c r="I23" s="235"/>
      <c r="J23" s="235"/>
      <c r="K23" s="236"/>
      <c r="L23" s="233"/>
      <c r="M23" s="233"/>
      <c r="N23" s="233"/>
      <c r="O23" s="57"/>
      <c r="Q23" s="58">
        <f t="shared" si="2"/>
        <v>6</v>
      </c>
      <c r="R23" s="237" t="s">
        <v>94</v>
      </c>
      <c r="S23" s="237"/>
      <c r="T23" s="75" t="s">
        <v>126</v>
      </c>
      <c r="U23" s="75" t="s">
        <v>130</v>
      </c>
      <c r="V23" s="74"/>
      <c r="W23" s="57"/>
      <c r="X23"/>
      <c r="Y23"/>
      <c r="Z23"/>
      <c r="AA23"/>
      <c r="AB23"/>
      <c r="AC23"/>
      <c r="AD23"/>
    </row>
    <row r="24" spans="1:30" ht="32.25" customHeight="1">
      <c r="A24" s="58">
        <f t="shared" si="1"/>
        <v>7</v>
      </c>
      <c r="B24" s="231" t="s">
        <v>84</v>
      </c>
      <c r="C24" s="231"/>
      <c r="D24" s="231"/>
      <c r="E24" s="231"/>
      <c r="F24" s="232">
        <v>42855</v>
      </c>
      <c r="G24" s="232"/>
      <c r="H24" s="234">
        <v>42855</v>
      </c>
      <c r="I24" s="235"/>
      <c r="J24" s="235"/>
      <c r="K24" s="236"/>
      <c r="L24" s="233"/>
      <c r="M24" s="233"/>
      <c r="N24" s="233"/>
      <c r="O24" s="57"/>
      <c r="Q24" s="58">
        <f t="shared" si="2"/>
        <v>7</v>
      </c>
      <c r="R24" s="237" t="s">
        <v>95</v>
      </c>
      <c r="S24" s="237"/>
      <c r="T24" s="75" t="s">
        <v>129</v>
      </c>
      <c r="U24" s="75" t="s">
        <v>131</v>
      </c>
      <c r="V24" s="74"/>
      <c r="W24" s="57"/>
      <c r="X24"/>
      <c r="Y24"/>
      <c r="Z24"/>
      <c r="AA24"/>
      <c r="AB24"/>
      <c r="AC24"/>
      <c r="AD24"/>
    </row>
    <row r="25" spans="1:30" ht="21.95" customHeight="1">
      <c r="Q25" s="58">
        <f t="shared" si="2"/>
        <v>8</v>
      </c>
      <c r="R25" s="237" t="s">
        <v>96</v>
      </c>
      <c r="S25" s="237"/>
      <c r="T25" s="75" t="s">
        <v>128</v>
      </c>
      <c r="U25" s="75" t="s">
        <v>127</v>
      </c>
      <c r="V25" s="73"/>
      <c r="W25" s="57"/>
      <c r="X25"/>
      <c r="Y25"/>
      <c r="Z25"/>
      <c r="AA25"/>
      <c r="AB25"/>
      <c r="AC25"/>
      <c r="AD25"/>
    </row>
    <row r="26" spans="1:30" ht="21.95" customHeight="1">
      <c r="Q26" s="58">
        <f t="shared" si="2"/>
        <v>9</v>
      </c>
      <c r="R26" s="237" t="s">
        <v>84</v>
      </c>
      <c r="S26" s="237"/>
      <c r="T26" s="75" t="s">
        <v>127</v>
      </c>
      <c r="U26" s="75" t="s">
        <v>132</v>
      </c>
      <c r="V26" s="73"/>
      <c r="W26" s="57"/>
    </row>
  </sheetData>
  <mergeCells count="49">
    <mergeCell ref="R25:S25"/>
    <mergeCell ref="R26:S26"/>
    <mergeCell ref="Q17:S17"/>
    <mergeCell ref="R18:S18"/>
    <mergeCell ref="R19:S19"/>
    <mergeCell ref="R20:S20"/>
    <mergeCell ref="R21:S21"/>
    <mergeCell ref="R22:S22"/>
    <mergeCell ref="R23:S23"/>
    <mergeCell ref="R24:S24"/>
    <mergeCell ref="C1:G1"/>
    <mergeCell ref="B18:E18"/>
    <mergeCell ref="B19:E19"/>
    <mergeCell ref="B21:E21"/>
    <mergeCell ref="F19:G19"/>
    <mergeCell ref="C2:G2"/>
    <mergeCell ref="A17:E17"/>
    <mergeCell ref="F17:G17"/>
    <mergeCell ref="F18:G18"/>
    <mergeCell ref="H20:K20"/>
    <mergeCell ref="H17:K17"/>
    <mergeCell ref="T2:V2"/>
    <mergeCell ref="J12:L12"/>
    <mergeCell ref="U1:V1"/>
    <mergeCell ref="J1:R1"/>
    <mergeCell ref="J2:R2"/>
    <mergeCell ref="L17:N17"/>
    <mergeCell ref="L18:N18"/>
    <mergeCell ref="L19:N19"/>
    <mergeCell ref="L20:N20"/>
    <mergeCell ref="H18:K18"/>
    <mergeCell ref="H19:K19"/>
    <mergeCell ref="L24:N24"/>
    <mergeCell ref="L23:N23"/>
    <mergeCell ref="L21:N21"/>
    <mergeCell ref="L22:N22"/>
    <mergeCell ref="F21:G21"/>
    <mergeCell ref="F22:G22"/>
    <mergeCell ref="F23:G23"/>
    <mergeCell ref="H22:K22"/>
    <mergeCell ref="H23:K23"/>
    <mergeCell ref="H21:K21"/>
    <mergeCell ref="H24:K24"/>
    <mergeCell ref="B22:E22"/>
    <mergeCell ref="B23:E23"/>
    <mergeCell ref="F24:G24"/>
    <mergeCell ref="B24:E24"/>
    <mergeCell ref="F20:G20"/>
    <mergeCell ref="B20:E20"/>
  </mergeCells>
  <phoneticPr fontId="0" type="noConversion"/>
  <dataValidations count="2">
    <dataValidation type="list" allowBlank="1" showInputMessage="1" showErrorMessage="1" promptTitle="Please Enter P or C" prompt="P - Partial_x000a_C - Complete" sqref="P5:P10">
      <formula1>"P, C"</formula1>
    </dataValidation>
    <dataValidation type="list" allowBlank="1" showInputMessage="1" showErrorMessage="1" promptTitle="Type Y or N" prompt="Y - Yes_x000a_N - No" sqref="I5:K10">
      <formula1>"Y, N"</formula1>
    </dataValidation>
  </dataValidations>
  <printOptions horizontalCentered="1"/>
  <pageMargins left="0.19685039370078741" right="0.19685039370078741" top="0.78740157480314965" bottom="0.39370078740157483" header="0" footer="0"/>
  <pageSetup paperSize="9" orientation="landscape" r:id="rId1"/>
  <headerFooter alignWithMargins="0">
    <oddFooter>&amp;L&amp;7&amp;F&amp;C&amp;8Page: &amp;P / &amp;N&amp;R&amp;5[Format Rev. 1.176-RPOC]&amp;6 &amp;8&amp;D - &amp;T</oddFooter>
  </headerFooter>
  <ignoredErrors>
    <ignoredError sqref="L18:L19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35"/>
  <sheetViews>
    <sheetView showGridLines="0" showZeros="0" topLeftCell="N1" workbookViewId="0">
      <selection activeCell="W3" sqref="W3"/>
    </sheetView>
  </sheetViews>
  <sheetFormatPr defaultRowHeight="11.25"/>
  <cols>
    <col min="1" max="1" width="8.28515625" style="103" customWidth="1"/>
    <col min="2" max="2" width="13.7109375" style="104" customWidth="1"/>
    <col min="3" max="3" width="17" style="104" customWidth="1"/>
    <col min="4" max="4" width="7.28515625" style="104" customWidth="1"/>
    <col min="5" max="5" width="22.42578125" style="126" customWidth="1"/>
    <col min="6" max="6" width="10.28515625" style="126" customWidth="1"/>
    <col min="7" max="7" width="9.5703125" style="104" bestFit="1" customWidth="1"/>
    <col min="8" max="8" width="5.42578125" style="104" customWidth="1"/>
    <col min="9" max="9" width="5.7109375" style="104" customWidth="1"/>
    <col min="10" max="10" width="5.28515625" style="104" customWidth="1"/>
    <col min="11" max="11" width="4.85546875" style="104" customWidth="1"/>
    <col min="12" max="12" width="7.42578125" style="104" customWidth="1"/>
    <col min="13" max="13" width="9.5703125" style="104" customWidth="1"/>
    <col min="14" max="14" width="10" style="104" customWidth="1"/>
    <col min="15" max="15" width="6.28515625" style="104" customWidth="1"/>
    <col min="16" max="16" width="11.140625" style="104" customWidth="1"/>
    <col min="17" max="17" width="12.42578125" style="104" customWidth="1"/>
    <col min="18" max="18" width="13" style="104" customWidth="1"/>
    <col min="19" max="19" width="7.5703125" style="104" customWidth="1"/>
    <col min="20" max="21" width="11.7109375" style="104" customWidth="1"/>
    <col min="22" max="22" width="24.28515625" style="104" customWidth="1"/>
    <col min="23" max="23" width="12.42578125" style="104" customWidth="1"/>
    <col min="24" max="16384" width="9.140625" style="104"/>
  </cols>
  <sheetData>
    <row r="1" spans="1:23" ht="12.75" customHeight="1">
      <c r="A1" s="103" t="s">
        <v>55</v>
      </c>
      <c r="C1" s="262" t="str">
        <f>'[1]4077-A609 097-I'!B5</f>
        <v>TITANIUM EQUIPMENT AND ANODE MFG CO LTD</v>
      </c>
      <c r="D1" s="262"/>
      <c r="E1" s="262"/>
      <c r="F1" s="262"/>
      <c r="G1" s="262"/>
      <c r="I1" s="131" t="s">
        <v>53</v>
      </c>
      <c r="J1" s="263"/>
      <c r="K1" s="264"/>
      <c r="L1" s="264"/>
      <c r="M1" s="264"/>
      <c r="N1" s="264"/>
      <c r="O1" s="264"/>
      <c r="P1" s="264"/>
      <c r="Q1" s="264"/>
      <c r="R1" s="265"/>
      <c r="U1" s="272" t="s">
        <v>37</v>
      </c>
      <c r="V1" s="272"/>
      <c r="W1" s="105">
        <v>43048</v>
      </c>
    </row>
    <row r="2" spans="1:23" ht="12.75" customHeight="1">
      <c r="A2" s="103" t="s">
        <v>38</v>
      </c>
      <c r="C2" s="262" t="str">
        <f>'[1]4077-A609 097-I'!B8</f>
        <v>HEAT EXCHANGER</v>
      </c>
      <c r="D2" s="262"/>
      <c r="E2" s="262"/>
      <c r="F2" s="262"/>
      <c r="G2" s="262"/>
      <c r="I2" s="131" t="s">
        <v>54</v>
      </c>
      <c r="J2" s="263" t="s">
        <v>149</v>
      </c>
      <c r="K2" s="264"/>
      <c r="L2" s="264"/>
      <c r="M2" s="264"/>
      <c r="N2" s="264"/>
      <c r="O2" s="264"/>
      <c r="P2" s="264"/>
      <c r="Q2" s="264"/>
      <c r="R2" s="265"/>
      <c r="S2" s="106"/>
      <c r="T2" s="273" t="str">
        <f>'[1]4077-A609 097-I'!F2</f>
        <v>Vendor'sInternalWork Order Ref.</v>
      </c>
      <c r="U2" s="274"/>
      <c r="V2" s="274"/>
      <c r="W2" s="107" t="s">
        <v>207</v>
      </c>
    </row>
    <row r="3" spans="1:23" s="108" customFormat="1" ht="5.25" customHeight="1">
      <c r="E3" s="109"/>
      <c r="F3" s="109"/>
    </row>
    <row r="4" spans="1:23" ht="56.25">
      <c r="A4" s="110" t="s">
        <v>39</v>
      </c>
      <c r="B4" s="111" t="s">
        <v>40</v>
      </c>
      <c r="C4" s="111" t="s">
        <v>41</v>
      </c>
      <c r="D4" s="111" t="s">
        <v>42</v>
      </c>
      <c r="E4" s="111" t="s">
        <v>110</v>
      </c>
      <c r="F4" s="111" t="s">
        <v>43</v>
      </c>
      <c r="G4" s="111" t="s">
        <v>44</v>
      </c>
      <c r="H4" s="111" t="s">
        <v>45</v>
      </c>
      <c r="I4" s="111" t="s">
        <v>109</v>
      </c>
      <c r="J4" s="112" t="s">
        <v>46</v>
      </c>
      <c r="K4" s="112" t="s">
        <v>47</v>
      </c>
      <c r="L4" s="112" t="s">
        <v>48</v>
      </c>
      <c r="M4" s="111" t="s">
        <v>49</v>
      </c>
      <c r="N4" s="111" t="s">
        <v>50</v>
      </c>
      <c r="O4" s="111" t="s">
        <v>51</v>
      </c>
      <c r="P4" s="111" t="s">
        <v>52</v>
      </c>
      <c r="Q4" s="113" t="s">
        <v>56</v>
      </c>
      <c r="R4" s="113" t="s">
        <v>104</v>
      </c>
      <c r="S4" s="111" t="s">
        <v>98</v>
      </c>
      <c r="T4" s="113" t="s">
        <v>105</v>
      </c>
      <c r="U4" s="111" t="s">
        <v>106</v>
      </c>
      <c r="V4" s="111" t="s">
        <v>107</v>
      </c>
      <c r="W4" s="111" t="s">
        <v>108</v>
      </c>
    </row>
    <row r="5" spans="1:23" ht="12.75" customHeight="1">
      <c r="A5" s="114"/>
      <c r="B5" s="114" t="s">
        <v>151</v>
      </c>
      <c r="C5" s="114" t="s">
        <v>149</v>
      </c>
      <c r="D5" s="114" t="s">
        <v>141</v>
      </c>
      <c r="E5" s="114" t="s">
        <v>179</v>
      </c>
      <c r="F5" s="115" t="s">
        <v>182</v>
      </c>
      <c r="G5" s="115" t="s">
        <v>185</v>
      </c>
      <c r="H5" s="114"/>
      <c r="I5" s="114" t="s">
        <v>142</v>
      </c>
      <c r="J5" s="114" t="s">
        <v>142</v>
      </c>
      <c r="K5" s="114" t="s">
        <v>142</v>
      </c>
      <c r="L5" s="114" t="s">
        <v>144</v>
      </c>
      <c r="M5" s="116">
        <v>2</v>
      </c>
      <c r="N5" s="117">
        <v>0</v>
      </c>
      <c r="O5" s="118">
        <v>2</v>
      </c>
      <c r="P5" s="119"/>
      <c r="Q5" s="134"/>
      <c r="R5" s="118"/>
      <c r="S5" s="119"/>
      <c r="T5" s="120"/>
      <c r="U5" s="121"/>
      <c r="V5" s="120"/>
      <c r="W5" s="114"/>
    </row>
    <row r="6" spans="1:23" ht="28.5" customHeight="1">
      <c r="A6" s="114"/>
      <c r="B6" s="114" t="s">
        <v>151</v>
      </c>
      <c r="C6" s="114" t="s">
        <v>149</v>
      </c>
      <c r="D6" s="114" t="s">
        <v>177</v>
      </c>
      <c r="E6" s="114" t="s">
        <v>180</v>
      </c>
      <c r="F6" s="115" t="s">
        <v>183</v>
      </c>
      <c r="G6" s="115" t="s">
        <v>186</v>
      </c>
      <c r="H6" s="114"/>
      <c r="I6" s="114" t="s">
        <v>142</v>
      </c>
      <c r="J6" s="114" t="s">
        <v>142</v>
      </c>
      <c r="K6" s="114" t="s">
        <v>142</v>
      </c>
      <c r="L6" s="114" t="s">
        <v>145</v>
      </c>
      <c r="M6" s="116">
        <v>1</v>
      </c>
      <c r="N6" s="117">
        <v>0</v>
      </c>
      <c r="O6" s="118">
        <v>1</v>
      </c>
      <c r="P6" s="119"/>
      <c r="Q6" s="134">
        <v>0</v>
      </c>
      <c r="R6" s="118"/>
      <c r="S6" s="119"/>
      <c r="T6" s="120"/>
      <c r="U6" s="121"/>
      <c r="V6" s="120"/>
      <c r="W6" s="114"/>
    </row>
    <row r="7" spans="1:23" ht="32.25" customHeight="1">
      <c r="A7" s="114"/>
      <c r="B7" s="114" t="s">
        <v>151</v>
      </c>
      <c r="C7" s="114" t="s">
        <v>149</v>
      </c>
      <c r="D7" s="114" t="s">
        <v>178</v>
      </c>
      <c r="E7" s="114" t="s">
        <v>181</v>
      </c>
      <c r="F7" s="115" t="s">
        <v>184</v>
      </c>
      <c r="G7" s="115" t="s">
        <v>187</v>
      </c>
      <c r="H7" s="114"/>
      <c r="I7" s="114" t="s">
        <v>142</v>
      </c>
      <c r="J7" s="114" t="s">
        <v>142</v>
      </c>
      <c r="K7" s="114" t="s">
        <v>142</v>
      </c>
      <c r="L7" s="114" t="s">
        <v>144</v>
      </c>
      <c r="M7" s="116">
        <v>2</v>
      </c>
      <c r="N7" s="117">
        <v>0</v>
      </c>
      <c r="O7" s="118">
        <v>2</v>
      </c>
      <c r="P7" s="119"/>
      <c r="Q7" s="118"/>
      <c r="R7" s="118"/>
      <c r="S7" s="119"/>
      <c r="T7" s="120"/>
      <c r="U7" s="121"/>
      <c r="V7" s="120"/>
      <c r="W7" s="114"/>
    </row>
    <row r="8" spans="1:23" ht="20.100000000000001" customHeight="1">
      <c r="A8" s="114"/>
      <c r="B8" s="114"/>
      <c r="C8" s="114"/>
      <c r="D8" s="114"/>
      <c r="E8" s="114"/>
      <c r="F8" s="115"/>
      <c r="G8" s="115"/>
      <c r="H8" s="114"/>
      <c r="I8" s="114"/>
      <c r="J8" s="114"/>
      <c r="K8" s="114"/>
      <c r="L8" s="114"/>
      <c r="M8" s="116"/>
      <c r="N8" s="117">
        <v>0</v>
      </c>
      <c r="O8" s="118"/>
      <c r="P8" s="119"/>
      <c r="Q8" s="118"/>
      <c r="R8" s="118"/>
      <c r="S8" s="119"/>
      <c r="T8" s="120"/>
      <c r="U8" s="121"/>
      <c r="V8" s="120"/>
      <c r="W8" s="114"/>
    </row>
    <row r="9" spans="1:23" ht="20.100000000000001" customHeight="1">
      <c r="A9" s="114"/>
      <c r="B9" s="114"/>
      <c r="C9" s="114"/>
      <c r="D9" s="114"/>
      <c r="E9" s="114"/>
      <c r="F9" s="115"/>
      <c r="G9" s="115"/>
      <c r="H9" s="114"/>
      <c r="I9" s="114"/>
      <c r="J9" s="114"/>
      <c r="K9" s="114"/>
      <c r="L9" s="114"/>
      <c r="M9" s="116"/>
      <c r="N9" s="117">
        <v>0</v>
      </c>
      <c r="O9" s="118"/>
      <c r="P9" s="119"/>
      <c r="Q9" s="118"/>
      <c r="R9" s="118"/>
      <c r="S9" s="119"/>
      <c r="T9" s="120"/>
      <c r="U9" s="121"/>
      <c r="V9" s="120"/>
      <c r="W9" s="114"/>
    </row>
    <row r="10" spans="1:23" ht="20.100000000000001" customHeight="1">
      <c r="A10" s="114"/>
      <c r="B10" s="114"/>
      <c r="C10" s="114"/>
      <c r="D10" s="114"/>
      <c r="E10" s="114"/>
      <c r="F10" s="115"/>
      <c r="G10" s="115"/>
      <c r="H10" s="114"/>
      <c r="I10" s="114"/>
      <c r="J10" s="114"/>
      <c r="K10" s="114"/>
      <c r="L10" s="114"/>
      <c r="M10" s="116"/>
      <c r="N10" s="117">
        <v>0</v>
      </c>
      <c r="O10" s="118">
        <f t="shared" ref="O10" si="0">M10-N10</f>
        <v>0</v>
      </c>
      <c r="P10" s="119"/>
      <c r="Q10" s="118"/>
      <c r="R10" s="118"/>
      <c r="S10" s="119"/>
      <c r="T10" s="120"/>
      <c r="U10" s="121"/>
      <c r="V10" s="120"/>
      <c r="W10" s="114"/>
    </row>
    <row r="11" spans="1:23" s="108" customFormat="1" ht="2.25" customHeight="1"/>
    <row r="12" spans="1:23" ht="12.75">
      <c r="A12" s="122" t="s">
        <v>99</v>
      </c>
      <c r="B12" s="123"/>
      <c r="C12" s="123"/>
      <c r="D12" s="123"/>
      <c r="E12" s="123"/>
      <c r="F12" s="123"/>
      <c r="G12" s="123"/>
      <c r="H12" s="123"/>
      <c r="I12" s="123"/>
      <c r="J12" s="275" t="s">
        <v>36</v>
      </c>
      <c r="K12" s="276"/>
      <c r="L12" s="276"/>
      <c r="M12" s="124">
        <f>SUM(M5:M10)</f>
        <v>5</v>
      </c>
      <c r="N12" s="117">
        <f>SUM(N5:N10)</f>
        <v>0</v>
      </c>
      <c r="O12" s="116">
        <f>SUM(O5:O10)</f>
        <v>5</v>
      </c>
      <c r="P12" s="123"/>
      <c r="Q12" s="125">
        <f>SUM(Q5:Q10)</f>
        <v>0</v>
      </c>
      <c r="R12" s="108"/>
      <c r="S12" s="125">
        <f>SUM(S5:S10)</f>
        <v>0</v>
      </c>
      <c r="T12" s="123"/>
      <c r="U12" s="123"/>
      <c r="V12" s="123"/>
      <c r="W12" s="123"/>
    </row>
    <row r="13" spans="1:23">
      <c r="A13" s="104" t="s">
        <v>100</v>
      </c>
    </row>
    <row r="14" spans="1:23">
      <c r="A14" s="104"/>
    </row>
    <row r="15" spans="1:23">
      <c r="A15" s="104"/>
    </row>
    <row r="16" spans="1:23">
      <c r="A16" s="103" t="s">
        <v>101</v>
      </c>
    </row>
    <row r="17" spans="1:30" ht="18">
      <c r="A17" s="127" t="s">
        <v>143</v>
      </c>
      <c r="D17" s="128"/>
      <c r="E17" s="128"/>
      <c r="F17" s="128"/>
    </row>
    <row r="18" spans="1:30" ht="21.95" customHeight="1">
      <c r="A18" s="266" t="s">
        <v>78</v>
      </c>
      <c r="B18" s="266"/>
      <c r="C18" s="266"/>
      <c r="D18" s="266"/>
      <c r="E18" s="266"/>
      <c r="F18" s="267" t="s">
        <v>86</v>
      </c>
      <c r="G18" s="267"/>
      <c r="H18" s="268" t="s">
        <v>87</v>
      </c>
      <c r="I18" s="268"/>
      <c r="J18" s="268"/>
      <c r="K18" s="268"/>
      <c r="L18" s="269" t="s">
        <v>88</v>
      </c>
      <c r="M18" s="270"/>
      <c r="N18" s="271"/>
      <c r="O18" s="132" t="s">
        <v>97</v>
      </c>
      <c r="X18" s="108"/>
      <c r="Y18" s="108"/>
      <c r="Z18" s="108"/>
      <c r="AA18" s="108"/>
      <c r="AB18" s="108"/>
      <c r="AC18" s="108"/>
      <c r="AD18" s="108"/>
    </row>
    <row r="19" spans="1:30" ht="21.95" customHeight="1">
      <c r="A19" s="129">
        <v>1</v>
      </c>
      <c r="B19" s="257" t="s">
        <v>79</v>
      </c>
      <c r="C19" s="257"/>
      <c r="D19" s="257"/>
      <c r="E19" s="257"/>
      <c r="F19" s="253">
        <v>42865</v>
      </c>
      <c r="G19" s="253"/>
      <c r="H19" s="253"/>
      <c r="I19" s="253"/>
      <c r="J19" s="253"/>
      <c r="K19" s="253"/>
      <c r="L19" s="254">
        <v>42937</v>
      </c>
      <c r="M19" s="255"/>
      <c r="N19" s="256"/>
      <c r="O19" s="130" t="s">
        <v>138</v>
      </c>
      <c r="X19" s="108"/>
      <c r="Y19" s="108"/>
      <c r="Z19" s="108"/>
      <c r="AA19" s="108"/>
      <c r="AB19" s="108"/>
      <c r="AC19" s="108"/>
      <c r="AD19" s="108"/>
    </row>
    <row r="20" spans="1:30" ht="27.75" customHeight="1">
      <c r="A20" s="129">
        <f t="shared" ref="A20:A25" si="1">A19+1</f>
        <v>2</v>
      </c>
      <c r="B20" s="257" t="s">
        <v>80</v>
      </c>
      <c r="C20" s="257"/>
      <c r="D20" s="257"/>
      <c r="E20" s="257"/>
      <c r="F20" s="253">
        <v>42907</v>
      </c>
      <c r="G20" s="253"/>
      <c r="H20" s="253"/>
      <c r="I20" s="253"/>
      <c r="J20" s="253"/>
      <c r="K20" s="253"/>
      <c r="L20" s="254" t="s">
        <v>200</v>
      </c>
      <c r="M20" s="255"/>
      <c r="N20" s="256"/>
      <c r="O20" s="130"/>
      <c r="X20" s="108"/>
      <c r="Y20" s="108"/>
      <c r="Z20" s="108"/>
      <c r="AA20" s="108"/>
      <c r="AB20" s="108"/>
      <c r="AC20" s="108"/>
      <c r="AD20" s="108"/>
    </row>
    <row r="21" spans="1:30" ht="21.95" customHeight="1">
      <c r="A21" s="129">
        <f t="shared" si="1"/>
        <v>3</v>
      </c>
      <c r="B21" s="257" t="s">
        <v>81</v>
      </c>
      <c r="C21" s="257"/>
      <c r="D21" s="257"/>
      <c r="E21" s="257"/>
      <c r="F21" s="253">
        <v>42881</v>
      </c>
      <c r="G21" s="253"/>
      <c r="H21" s="253"/>
      <c r="I21" s="253"/>
      <c r="J21" s="253"/>
      <c r="K21" s="253"/>
      <c r="L21" s="258" t="s">
        <v>201</v>
      </c>
      <c r="M21" s="255"/>
      <c r="N21" s="256"/>
      <c r="O21" s="130"/>
      <c r="X21" s="108"/>
      <c r="Y21" s="108"/>
      <c r="Z21" s="108"/>
      <c r="AA21" s="108"/>
      <c r="AB21" s="108"/>
      <c r="AC21" s="108"/>
      <c r="AD21" s="108"/>
    </row>
    <row r="22" spans="1:30" ht="21.95" customHeight="1">
      <c r="A22" s="129">
        <f t="shared" si="1"/>
        <v>4</v>
      </c>
      <c r="B22" s="257" t="s">
        <v>82</v>
      </c>
      <c r="C22" s="257"/>
      <c r="D22" s="257"/>
      <c r="E22" s="257"/>
      <c r="F22" s="253">
        <v>43004</v>
      </c>
      <c r="G22" s="253"/>
      <c r="H22" s="253"/>
      <c r="I22" s="253"/>
      <c r="J22" s="253"/>
      <c r="K22" s="253"/>
      <c r="L22" s="258" t="s">
        <v>202</v>
      </c>
      <c r="M22" s="259"/>
      <c r="N22" s="260"/>
      <c r="O22" s="130"/>
      <c r="X22" s="108"/>
      <c r="Y22" s="108"/>
      <c r="Z22" s="108"/>
      <c r="AA22" s="108"/>
      <c r="AB22" s="108"/>
      <c r="AC22" s="108"/>
      <c r="AD22" s="108"/>
    </row>
    <row r="23" spans="1:30" ht="54" customHeight="1">
      <c r="A23" s="129">
        <f t="shared" si="1"/>
        <v>5</v>
      </c>
      <c r="B23" s="257" t="s">
        <v>83</v>
      </c>
      <c r="C23" s="257"/>
      <c r="D23" s="257"/>
      <c r="E23" s="257"/>
      <c r="F23" s="253">
        <v>42913</v>
      </c>
      <c r="G23" s="253"/>
      <c r="H23" s="253"/>
      <c r="I23" s="253"/>
      <c r="J23" s="253"/>
      <c r="K23" s="253"/>
      <c r="L23" s="252"/>
      <c r="M23" s="253"/>
      <c r="N23" s="253"/>
      <c r="O23" s="130"/>
      <c r="X23" s="108"/>
      <c r="Y23" s="108"/>
      <c r="Z23" s="108"/>
      <c r="AA23" s="108"/>
      <c r="AB23" s="108"/>
      <c r="AC23" s="108"/>
      <c r="AD23" s="108"/>
    </row>
    <row r="24" spans="1:30" ht="21.75" customHeight="1">
      <c r="A24" s="129">
        <f t="shared" si="1"/>
        <v>6</v>
      </c>
      <c r="B24" s="257" t="s">
        <v>85</v>
      </c>
      <c r="C24" s="257"/>
      <c r="D24" s="257"/>
      <c r="E24" s="257"/>
      <c r="F24" s="253">
        <v>43174</v>
      </c>
      <c r="G24" s="253"/>
      <c r="H24" s="253"/>
      <c r="I24" s="253"/>
      <c r="J24" s="253"/>
      <c r="K24" s="253"/>
      <c r="L24" s="261"/>
      <c r="M24" s="261"/>
      <c r="N24" s="261"/>
      <c r="O24" s="130"/>
      <c r="X24" s="108"/>
      <c r="Y24" s="108"/>
      <c r="Z24" s="108"/>
      <c r="AA24" s="108"/>
      <c r="AB24" s="108"/>
      <c r="AC24" s="108"/>
      <c r="AD24" s="108"/>
    </row>
    <row r="25" spans="1:30" ht="24.75" customHeight="1">
      <c r="A25" s="129">
        <f t="shared" si="1"/>
        <v>7</v>
      </c>
      <c r="B25" s="257" t="s">
        <v>84</v>
      </c>
      <c r="C25" s="257"/>
      <c r="D25" s="257"/>
      <c r="E25" s="257"/>
      <c r="F25" s="253">
        <v>43214</v>
      </c>
      <c r="G25" s="253"/>
      <c r="H25" s="253"/>
      <c r="I25" s="253"/>
      <c r="J25" s="253"/>
      <c r="K25" s="253"/>
      <c r="L25" s="254"/>
      <c r="M25" s="255"/>
      <c r="N25" s="256"/>
      <c r="O25" s="130"/>
      <c r="X25" s="108"/>
      <c r="Y25" s="108"/>
      <c r="Z25" s="108"/>
      <c r="AA25" s="108"/>
      <c r="AB25" s="108"/>
      <c r="AC25" s="108"/>
      <c r="AD25" s="108"/>
    </row>
    <row r="26" spans="1:30" ht="21.95" customHeight="1">
      <c r="X26" s="108"/>
      <c r="Y26" s="108"/>
      <c r="Z26" s="108"/>
      <c r="AA26" s="108"/>
      <c r="AB26" s="108"/>
      <c r="AC26" s="108"/>
      <c r="AD26" s="108"/>
    </row>
    <row r="28" spans="1:30" ht="15">
      <c r="A28" s="168" t="s">
        <v>204</v>
      </c>
      <c r="B28" s="168"/>
      <c r="C28" s="168"/>
      <c r="D28" s="168"/>
      <c r="E28" s="168"/>
      <c r="F28" s="168"/>
      <c r="G28" s="168"/>
      <c r="H28" s="168"/>
      <c r="I28" s="168"/>
      <c r="J28" s="168"/>
      <c r="K28" s="168"/>
    </row>
    <row r="29" spans="1:30" ht="14.25">
      <c r="A29" s="169" t="s">
        <v>203</v>
      </c>
    </row>
    <row r="31" spans="1:30" ht="15">
      <c r="A31" s="168" t="s">
        <v>205</v>
      </c>
      <c r="B31" s="168"/>
      <c r="C31" s="168"/>
      <c r="D31" s="168"/>
      <c r="E31" s="168"/>
    </row>
    <row r="32" spans="1:30" ht="14.25">
      <c r="A32" s="169" t="s">
        <v>203</v>
      </c>
    </row>
    <row r="34" spans="1:5" ht="15">
      <c r="A34" s="168" t="s">
        <v>206</v>
      </c>
      <c r="B34" s="168"/>
      <c r="C34" s="168"/>
      <c r="D34" s="168"/>
      <c r="E34" s="168"/>
    </row>
    <row r="35" spans="1:5" ht="14.25">
      <c r="A35" s="169" t="s">
        <v>203</v>
      </c>
    </row>
  </sheetData>
  <mergeCells count="39">
    <mergeCell ref="U1:V1"/>
    <mergeCell ref="C2:G2"/>
    <mergeCell ref="J2:R2"/>
    <mergeCell ref="T2:V2"/>
    <mergeCell ref="J12:L12"/>
    <mergeCell ref="L21:N21"/>
    <mergeCell ref="C1:G1"/>
    <mergeCell ref="J1:R1"/>
    <mergeCell ref="A18:E18"/>
    <mergeCell ref="F18:G18"/>
    <mergeCell ref="H18:K18"/>
    <mergeCell ref="L18:N18"/>
    <mergeCell ref="B19:E19"/>
    <mergeCell ref="F19:G19"/>
    <mergeCell ref="H19:K19"/>
    <mergeCell ref="L19:N19"/>
    <mergeCell ref="B20:E20"/>
    <mergeCell ref="F20:G20"/>
    <mergeCell ref="F23:G23"/>
    <mergeCell ref="B21:E21"/>
    <mergeCell ref="F21:G21"/>
    <mergeCell ref="H21:K21"/>
    <mergeCell ref="H23:K23"/>
    <mergeCell ref="L23:N23"/>
    <mergeCell ref="H20:K20"/>
    <mergeCell ref="L20:N20"/>
    <mergeCell ref="B25:E25"/>
    <mergeCell ref="F25:G25"/>
    <mergeCell ref="H25:K25"/>
    <mergeCell ref="L25:N25"/>
    <mergeCell ref="B22:E22"/>
    <mergeCell ref="F22:G22"/>
    <mergeCell ref="H22:K22"/>
    <mergeCell ref="L22:N22"/>
    <mergeCell ref="B24:E24"/>
    <mergeCell ref="F24:G24"/>
    <mergeCell ref="H24:K24"/>
    <mergeCell ref="L24:N24"/>
    <mergeCell ref="B23:E23"/>
  </mergeCells>
  <dataValidations disablePrompts="1" count="2">
    <dataValidation type="list" allowBlank="1" showInputMessage="1" showErrorMessage="1" promptTitle="Please Enter P or C" prompt="P - Partial_x000a_C - Complete" sqref="P5:P10">
      <formula1>"P, C"</formula1>
    </dataValidation>
    <dataValidation type="list" allowBlank="1" showInputMessage="1" showErrorMessage="1" promptTitle="Type Y or N" prompt="Y - Yes_x000a_N - No" sqref="I5:K10">
      <formula1>"Y, N"</formula1>
    </dataValidation>
  </dataValidations>
  <printOptions horizontalCentered="1"/>
  <pageMargins left="0.19685039370078741" right="0.19685039370078741" top="0.78740157480314965" bottom="0.39370078740157483" header="0" footer="0"/>
  <pageSetup paperSize="9" orientation="landscape" r:id="rId1"/>
  <headerFooter alignWithMargins="0">
    <oddFooter>&amp;L&amp;7&amp;F&amp;C&amp;8Page: &amp;P / &amp;N&amp;R&amp;5[Format Rev. 1.176-RPOC]&amp;6 &amp;8&amp;D -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4173  General</vt:lpstr>
      <vt:lpstr>4077-A609 097-II</vt:lpstr>
      <vt:lpstr>4173 Mfg</vt:lpstr>
      <vt:lpstr>'4077-A609 097-II'!Print_Titles</vt:lpstr>
      <vt:lpstr>'4173  General'!Print_Titles</vt:lpstr>
      <vt:lpstr>'4173 Mfg'!Print_Titles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Aravaazhi</dc:creator>
  <cp:lastModifiedBy>Admin</cp:lastModifiedBy>
  <cp:lastPrinted>2016-10-15T03:51:57Z</cp:lastPrinted>
  <dcterms:created xsi:type="dcterms:W3CDTF">2004-06-02T10:27:20Z</dcterms:created>
  <dcterms:modified xsi:type="dcterms:W3CDTF">2017-11-09T09:10:42Z</dcterms:modified>
</cp:coreProperties>
</file>